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 Schoenberg\Desktop\Robonauts2018\Scouting2018\"/>
    </mc:Choice>
  </mc:AlternateContent>
  <xr:revisionPtr revIDLastSave="0" documentId="13_ncr:1_{CA6F74E8-A35D-43D3-99BA-E7FB33BAD2C8}" xr6:coauthVersionLast="31" xr6:coauthVersionMax="31" xr10:uidLastSave="{00000000-0000-0000-0000-000000000000}"/>
  <bookViews>
    <workbookView xWindow="0" yWindow="0" windowWidth="20460" windowHeight="7500" tabRatio="598" activeTab="1" xr2:uid="{00000000-000D-0000-FFFF-FFFF00000000}"/>
  </bookViews>
  <sheets>
    <sheet name="Raw Data" sheetId="1" r:id="rId1"/>
    <sheet name="Scouting" sheetId="2" r:id="rId2"/>
    <sheet name="Center Switch" sheetId="11" r:id="rId3"/>
    <sheet name="Center Switch 2" sheetId="12" r:id="rId4"/>
    <sheet name="2nd Pick Dallas" sheetId="3" r:id="rId5"/>
    <sheet name="Second Pick Denver" sheetId="6" r:id="rId6"/>
    <sheet name="Second Pick LSS" sheetId="10" r:id="rId7"/>
  </sheets>
  <definedNames>
    <definedName name="_xlnm._FilterDatabase" localSheetId="4" hidden="1">'2nd Pick Dallas'!$A$1:$O$61</definedName>
    <definedName name="_xlnm._FilterDatabase" localSheetId="2" hidden="1">'Center Switch'!$G$1:$L$181</definedName>
    <definedName name="_xlnm._FilterDatabase" localSheetId="3" hidden="1">'Center Switch 2'!$A$1:$G$1</definedName>
    <definedName name="_xlnm._FilterDatabase" localSheetId="1" hidden="1">Scouting!$A$2:$BZ$62</definedName>
    <definedName name="_xlnm._FilterDatabase" localSheetId="5" hidden="1">'Second Pick Denver'!$A$1:$F$1</definedName>
  </definedNames>
  <calcPr calcId="179017"/>
</workbook>
</file>

<file path=xl/calcChain.xml><?xml version="1.0" encoding="utf-8"?>
<calcChain xmlns="http://schemas.openxmlformats.org/spreadsheetml/2006/main">
  <c r="T8" i="2" l="1"/>
  <c r="S19" i="2"/>
  <c r="T19" i="2"/>
  <c r="U19" i="2"/>
  <c r="V19" i="2"/>
  <c r="S8" i="2"/>
  <c r="U8" i="2"/>
  <c r="V8" i="2"/>
  <c r="S15" i="2"/>
  <c r="T15" i="2"/>
  <c r="U15" i="2"/>
  <c r="V15" i="2"/>
  <c r="S28" i="2"/>
  <c r="T28" i="2"/>
  <c r="U28" i="2"/>
  <c r="V28" i="2"/>
  <c r="S30" i="2"/>
  <c r="T30" i="2"/>
  <c r="U30" i="2"/>
  <c r="V30" i="2"/>
  <c r="S13" i="2"/>
  <c r="T13" i="2"/>
  <c r="U13" i="2"/>
  <c r="V13" i="2"/>
  <c r="S11" i="2"/>
  <c r="T11" i="2"/>
  <c r="U11" i="2"/>
  <c r="V11" i="2"/>
  <c r="S14" i="2"/>
  <c r="T14" i="2"/>
  <c r="U14" i="2"/>
  <c r="V14" i="2"/>
  <c r="S29" i="2"/>
  <c r="T29" i="2"/>
  <c r="U29" i="2"/>
  <c r="V29" i="2"/>
  <c r="S5" i="2"/>
  <c r="T5" i="2"/>
  <c r="U5" i="2"/>
  <c r="V5" i="2"/>
  <c r="S6" i="2"/>
  <c r="T6" i="2"/>
  <c r="U6" i="2"/>
  <c r="V6" i="2"/>
  <c r="S3" i="2"/>
  <c r="T3" i="2"/>
  <c r="U3" i="2"/>
  <c r="V3" i="2"/>
  <c r="S56" i="2"/>
  <c r="T56" i="2"/>
  <c r="U56" i="2"/>
  <c r="V56" i="2"/>
  <c r="S24" i="2"/>
  <c r="T24" i="2"/>
  <c r="U24" i="2"/>
  <c r="V24" i="2"/>
  <c r="S44" i="2"/>
  <c r="T44" i="2"/>
  <c r="U44" i="2"/>
  <c r="V44" i="2"/>
  <c r="S23" i="2"/>
  <c r="T23" i="2"/>
  <c r="U23" i="2"/>
  <c r="V23" i="2"/>
  <c r="S27" i="2"/>
  <c r="T27" i="2"/>
  <c r="U27" i="2"/>
  <c r="V27" i="2"/>
  <c r="S21" i="2"/>
  <c r="T21" i="2"/>
  <c r="U21" i="2"/>
  <c r="V21" i="2"/>
  <c r="S54" i="2"/>
  <c r="T54" i="2"/>
  <c r="U54" i="2"/>
  <c r="V54" i="2"/>
  <c r="S46" i="2"/>
  <c r="T46" i="2"/>
  <c r="U46" i="2"/>
  <c r="V46" i="2"/>
  <c r="S61" i="2"/>
  <c r="T61" i="2"/>
  <c r="U61" i="2"/>
  <c r="V61" i="2"/>
  <c r="S22" i="2"/>
  <c r="T22" i="2"/>
  <c r="U22" i="2"/>
  <c r="V22" i="2"/>
  <c r="S40" i="2"/>
  <c r="T40" i="2"/>
  <c r="U40" i="2"/>
  <c r="V40" i="2"/>
  <c r="S37" i="2"/>
  <c r="T37" i="2"/>
  <c r="U37" i="2"/>
  <c r="V37" i="2"/>
  <c r="S26" i="2"/>
  <c r="T26" i="2"/>
  <c r="U26" i="2"/>
  <c r="V26" i="2"/>
  <c r="S10" i="2"/>
  <c r="T10" i="2"/>
  <c r="U10" i="2"/>
  <c r="V10" i="2"/>
  <c r="S4" i="2"/>
  <c r="T4" i="2"/>
  <c r="U4" i="2"/>
  <c r="V4" i="2"/>
  <c r="S53" i="2"/>
  <c r="T53" i="2"/>
  <c r="U53" i="2"/>
  <c r="V53" i="2"/>
  <c r="S45" i="2"/>
  <c r="T45" i="2"/>
  <c r="U45" i="2"/>
  <c r="V45" i="2"/>
  <c r="S20" i="2"/>
  <c r="T20" i="2"/>
  <c r="U20" i="2"/>
  <c r="V20" i="2"/>
  <c r="S39" i="2"/>
  <c r="T39" i="2"/>
  <c r="U39" i="2"/>
  <c r="V39" i="2"/>
  <c r="S43" i="2"/>
  <c r="T43" i="2"/>
  <c r="U43" i="2"/>
  <c r="V43" i="2"/>
  <c r="S12" i="2"/>
  <c r="T12" i="2"/>
  <c r="U12" i="2"/>
  <c r="V12" i="2"/>
  <c r="S17" i="2"/>
  <c r="T17" i="2"/>
  <c r="U17" i="2"/>
  <c r="V17" i="2"/>
  <c r="S51" i="2"/>
  <c r="T51" i="2"/>
  <c r="U51" i="2"/>
  <c r="V51" i="2"/>
  <c r="S50" i="2"/>
  <c r="T50" i="2"/>
  <c r="U50" i="2"/>
  <c r="V50" i="2"/>
  <c r="S31" i="2"/>
  <c r="T31" i="2"/>
  <c r="U31" i="2"/>
  <c r="V31" i="2"/>
  <c r="S7" i="2"/>
  <c r="T7" i="2"/>
  <c r="U7" i="2"/>
  <c r="V7" i="2"/>
  <c r="S48" i="2"/>
  <c r="T48" i="2"/>
  <c r="U48" i="2"/>
  <c r="V48" i="2"/>
  <c r="S49" i="2"/>
  <c r="T49" i="2"/>
  <c r="U49" i="2"/>
  <c r="V49" i="2"/>
  <c r="S41" i="2"/>
  <c r="T41" i="2"/>
  <c r="U41" i="2"/>
  <c r="V41" i="2"/>
  <c r="S18" i="2"/>
  <c r="T18" i="2"/>
  <c r="U18" i="2"/>
  <c r="V18" i="2"/>
  <c r="S47" i="2"/>
  <c r="T47" i="2"/>
  <c r="U47" i="2"/>
  <c r="V47" i="2"/>
  <c r="S33" i="2"/>
  <c r="T33" i="2"/>
  <c r="U33" i="2"/>
  <c r="V33" i="2"/>
  <c r="S42" i="2"/>
  <c r="T42" i="2"/>
  <c r="U42" i="2"/>
  <c r="V42" i="2"/>
  <c r="S57" i="2"/>
  <c r="T57" i="2"/>
  <c r="U57" i="2"/>
  <c r="V57" i="2"/>
  <c r="S55" i="2"/>
  <c r="T55" i="2"/>
  <c r="U55" i="2"/>
  <c r="V55" i="2"/>
  <c r="S36" i="2"/>
  <c r="T36" i="2"/>
  <c r="U36" i="2"/>
  <c r="V36" i="2"/>
  <c r="S58" i="2"/>
  <c r="T58" i="2"/>
  <c r="U58" i="2"/>
  <c r="V58" i="2"/>
  <c r="S35" i="2"/>
  <c r="T35" i="2"/>
  <c r="U35" i="2"/>
  <c r="V35" i="2"/>
  <c r="S16" i="2"/>
  <c r="T16" i="2"/>
  <c r="U16" i="2"/>
  <c r="V16" i="2"/>
  <c r="S34" i="2"/>
  <c r="T34" i="2"/>
  <c r="U34" i="2"/>
  <c r="V34" i="2"/>
  <c r="S25" i="2"/>
  <c r="T25" i="2"/>
  <c r="U25" i="2"/>
  <c r="V25" i="2"/>
  <c r="S38" i="2"/>
  <c r="T38" i="2"/>
  <c r="U38" i="2"/>
  <c r="V38" i="2"/>
  <c r="S32" i="2"/>
  <c r="T32" i="2"/>
  <c r="U32" i="2"/>
  <c r="V32" i="2"/>
  <c r="S52" i="2"/>
  <c r="T52" i="2"/>
  <c r="U52" i="2"/>
  <c r="V52" i="2"/>
  <c r="S60" i="2"/>
  <c r="T60" i="2"/>
  <c r="U60" i="2"/>
  <c r="V60" i="2"/>
  <c r="S62" i="2"/>
  <c r="T62" i="2"/>
  <c r="U62" i="2"/>
  <c r="V62" i="2"/>
  <c r="S59" i="2"/>
  <c r="T59" i="2"/>
  <c r="U59" i="2"/>
  <c r="V59" i="2"/>
  <c r="U9" i="2"/>
  <c r="V9" i="2"/>
  <c r="T9" i="2"/>
  <c r="S9" i="2"/>
  <c r="AD19" i="2"/>
  <c r="AE19" i="2"/>
  <c r="AF19" i="2"/>
  <c r="AG19" i="2"/>
  <c r="AH19" i="2"/>
  <c r="AI19" i="2"/>
  <c r="AJ19" i="2"/>
  <c r="AK19" i="2"/>
  <c r="AL19" i="2"/>
  <c r="R19" i="2" s="1"/>
  <c r="AM19" i="2"/>
  <c r="AN19" i="2"/>
  <c r="AP19" i="2"/>
  <c r="AQ19" i="2"/>
  <c r="AS19" i="2"/>
  <c r="M19" i="2" s="1"/>
  <c r="AT19" i="2"/>
  <c r="AU19" i="2"/>
  <c r="Q19" i="2" s="1"/>
  <c r="AW19" i="2"/>
  <c r="AX19" i="2"/>
  <c r="AY19" i="2"/>
  <c r="AZ19" i="2"/>
  <c r="BA19" i="2"/>
  <c r="BB19" i="2"/>
  <c r="BC19" i="2"/>
  <c r="BD19" i="2"/>
  <c r="BE19" i="2"/>
  <c r="BV19" i="2"/>
  <c r="W19" i="2" s="1"/>
  <c r="BW19" i="2"/>
  <c r="BX19" i="2"/>
  <c r="AD8" i="2"/>
  <c r="AE8" i="2"/>
  <c r="AF8" i="2"/>
  <c r="AG8" i="2"/>
  <c r="AH8" i="2"/>
  <c r="AI8" i="2"/>
  <c r="AJ8" i="2"/>
  <c r="AK8" i="2"/>
  <c r="AL8" i="2"/>
  <c r="R8" i="2" s="1"/>
  <c r="AM8" i="2"/>
  <c r="AN8" i="2"/>
  <c r="AP8" i="2"/>
  <c r="AQ8" i="2"/>
  <c r="AS8" i="2"/>
  <c r="M8" i="2" s="1"/>
  <c r="AT8" i="2"/>
  <c r="AU8" i="2"/>
  <c r="AW8" i="2"/>
  <c r="AX8" i="2"/>
  <c r="AY8" i="2"/>
  <c r="AZ8" i="2"/>
  <c r="BA8" i="2"/>
  <c r="BB8" i="2"/>
  <c r="BC8" i="2"/>
  <c r="BD8" i="2"/>
  <c r="BE8" i="2"/>
  <c r="BV8" i="2"/>
  <c r="W8" i="2" s="1"/>
  <c r="BW8" i="2"/>
  <c r="BX8" i="2"/>
  <c r="AD15" i="2"/>
  <c r="AE15" i="2"/>
  <c r="AF15" i="2"/>
  <c r="AG15" i="2"/>
  <c r="AH15" i="2"/>
  <c r="AI15" i="2"/>
  <c r="AJ15" i="2"/>
  <c r="AK15" i="2"/>
  <c r="AL15" i="2"/>
  <c r="R15" i="2" s="1"/>
  <c r="AM15" i="2"/>
  <c r="AN15" i="2"/>
  <c r="AP15" i="2"/>
  <c r="AQ15" i="2"/>
  <c r="AS15" i="2"/>
  <c r="M15" i="2" s="1"/>
  <c r="AT15" i="2"/>
  <c r="AU15" i="2"/>
  <c r="Q15" i="2" s="1"/>
  <c r="AW15" i="2"/>
  <c r="AX15" i="2"/>
  <c r="AY15" i="2"/>
  <c r="AZ15" i="2"/>
  <c r="BA15" i="2"/>
  <c r="BB15" i="2"/>
  <c r="BC15" i="2"/>
  <c r="BD15" i="2"/>
  <c r="BE15" i="2"/>
  <c r="BV15" i="2"/>
  <c r="W15" i="2" s="1"/>
  <c r="BW15" i="2"/>
  <c r="BX15" i="2"/>
  <c r="AD28" i="2"/>
  <c r="AE28" i="2"/>
  <c r="AF28" i="2"/>
  <c r="AG28" i="2"/>
  <c r="AH28" i="2"/>
  <c r="AI28" i="2"/>
  <c r="AJ28" i="2"/>
  <c r="AK28" i="2"/>
  <c r="AL28" i="2"/>
  <c r="R28" i="2" s="1"/>
  <c r="AM28" i="2"/>
  <c r="AN28" i="2"/>
  <c r="AP28" i="2"/>
  <c r="AQ28" i="2"/>
  <c r="AS28" i="2"/>
  <c r="M28" i="2" s="1"/>
  <c r="AT28" i="2"/>
  <c r="AU28" i="2"/>
  <c r="Q28" i="2" s="1"/>
  <c r="AW28" i="2"/>
  <c r="AX28" i="2"/>
  <c r="AY28" i="2"/>
  <c r="AZ28" i="2"/>
  <c r="BA28" i="2"/>
  <c r="BB28" i="2"/>
  <c r="BC28" i="2"/>
  <c r="BD28" i="2"/>
  <c r="BE28" i="2"/>
  <c r="BV28" i="2"/>
  <c r="W28" i="2" s="1"/>
  <c r="BW28" i="2"/>
  <c r="BX28" i="2"/>
  <c r="AD30" i="2"/>
  <c r="AE30" i="2"/>
  <c r="AF30" i="2"/>
  <c r="AG30" i="2"/>
  <c r="AH30" i="2"/>
  <c r="AI30" i="2"/>
  <c r="AJ30" i="2"/>
  <c r="AK30" i="2"/>
  <c r="AL30" i="2"/>
  <c r="R30" i="2" s="1"/>
  <c r="AM30" i="2"/>
  <c r="AN30" i="2"/>
  <c r="AP30" i="2"/>
  <c r="AQ30" i="2"/>
  <c r="AS30" i="2"/>
  <c r="M30" i="2" s="1"/>
  <c r="AT30" i="2"/>
  <c r="AU30" i="2"/>
  <c r="Q30" i="2" s="1"/>
  <c r="AW30" i="2"/>
  <c r="AX30" i="2"/>
  <c r="AY30" i="2"/>
  <c r="AZ30" i="2"/>
  <c r="BA30" i="2"/>
  <c r="BB30" i="2"/>
  <c r="BC30" i="2"/>
  <c r="BD30" i="2"/>
  <c r="BE30" i="2"/>
  <c r="BV30" i="2"/>
  <c r="W30" i="2" s="1"/>
  <c r="BW30" i="2"/>
  <c r="BX30" i="2"/>
  <c r="AD13" i="2"/>
  <c r="AE13" i="2"/>
  <c r="AF13" i="2"/>
  <c r="AG13" i="2"/>
  <c r="AH13" i="2"/>
  <c r="AI13" i="2"/>
  <c r="AJ13" i="2"/>
  <c r="AK13" i="2"/>
  <c r="AL13" i="2"/>
  <c r="R13" i="2" s="1"/>
  <c r="AM13" i="2"/>
  <c r="AN13" i="2"/>
  <c r="AP13" i="2"/>
  <c r="AQ13" i="2"/>
  <c r="AS13" i="2"/>
  <c r="M13" i="2" s="1"/>
  <c r="AT13" i="2"/>
  <c r="AU13" i="2"/>
  <c r="Q13" i="2" s="1"/>
  <c r="AW13" i="2"/>
  <c r="AX13" i="2"/>
  <c r="AY13" i="2"/>
  <c r="AZ13" i="2"/>
  <c r="BA13" i="2"/>
  <c r="BB13" i="2"/>
  <c r="BC13" i="2"/>
  <c r="BD13" i="2"/>
  <c r="BE13" i="2"/>
  <c r="BV13" i="2"/>
  <c r="W13" i="2" s="1"/>
  <c r="BW13" i="2"/>
  <c r="BX13" i="2"/>
  <c r="AD11" i="2"/>
  <c r="AE11" i="2"/>
  <c r="AF11" i="2"/>
  <c r="AG11" i="2"/>
  <c r="AH11" i="2"/>
  <c r="AI11" i="2"/>
  <c r="AJ11" i="2"/>
  <c r="AK11" i="2"/>
  <c r="AL11" i="2"/>
  <c r="R11" i="2" s="1"/>
  <c r="AM11" i="2"/>
  <c r="AN11" i="2"/>
  <c r="AP11" i="2"/>
  <c r="AQ11" i="2"/>
  <c r="AS11" i="2"/>
  <c r="M11" i="2" s="1"/>
  <c r="AT11" i="2"/>
  <c r="AU11" i="2"/>
  <c r="AW11" i="2"/>
  <c r="AX11" i="2"/>
  <c r="AY11" i="2"/>
  <c r="AZ11" i="2"/>
  <c r="BA11" i="2"/>
  <c r="BB11" i="2"/>
  <c r="BC11" i="2"/>
  <c r="BD11" i="2"/>
  <c r="BE11" i="2"/>
  <c r="BV11" i="2"/>
  <c r="W11" i="2" s="1"/>
  <c r="BW11" i="2"/>
  <c r="BX11" i="2"/>
  <c r="AD14" i="2"/>
  <c r="AE14" i="2"/>
  <c r="AF14" i="2"/>
  <c r="AG14" i="2"/>
  <c r="AH14" i="2"/>
  <c r="AI14" i="2"/>
  <c r="AJ14" i="2"/>
  <c r="AK14" i="2"/>
  <c r="AL14" i="2"/>
  <c r="R14" i="2" s="1"/>
  <c r="AM14" i="2"/>
  <c r="AN14" i="2"/>
  <c r="AP14" i="2"/>
  <c r="AQ14" i="2"/>
  <c r="AS14" i="2"/>
  <c r="M14" i="2" s="1"/>
  <c r="AT14" i="2"/>
  <c r="AU14" i="2"/>
  <c r="Q14" i="2" s="1"/>
  <c r="AW14" i="2"/>
  <c r="AX14" i="2"/>
  <c r="AY14" i="2"/>
  <c r="AZ14" i="2"/>
  <c r="BA14" i="2"/>
  <c r="BB14" i="2"/>
  <c r="BC14" i="2"/>
  <c r="BD14" i="2"/>
  <c r="BE14" i="2"/>
  <c r="BV14" i="2"/>
  <c r="W14" i="2" s="1"/>
  <c r="BW14" i="2"/>
  <c r="BX14" i="2"/>
  <c r="AD29" i="2"/>
  <c r="AE29" i="2"/>
  <c r="AF29" i="2"/>
  <c r="AG29" i="2"/>
  <c r="AH29" i="2"/>
  <c r="AI29" i="2"/>
  <c r="AJ29" i="2"/>
  <c r="AK29" i="2"/>
  <c r="AL29" i="2"/>
  <c r="R29" i="2" s="1"/>
  <c r="AM29" i="2"/>
  <c r="AN29" i="2"/>
  <c r="AP29" i="2"/>
  <c r="AQ29" i="2"/>
  <c r="AS29" i="2"/>
  <c r="M29" i="2" s="1"/>
  <c r="AT29" i="2"/>
  <c r="AU29" i="2"/>
  <c r="Q29" i="2" s="1"/>
  <c r="AW29" i="2"/>
  <c r="AX29" i="2"/>
  <c r="AY29" i="2"/>
  <c r="AZ29" i="2"/>
  <c r="BA29" i="2"/>
  <c r="BB29" i="2"/>
  <c r="BC29" i="2"/>
  <c r="BD29" i="2"/>
  <c r="BE29" i="2"/>
  <c r="BV29" i="2"/>
  <c r="W29" i="2" s="1"/>
  <c r="BW29" i="2"/>
  <c r="BX29" i="2"/>
  <c r="AD5" i="2"/>
  <c r="AE5" i="2"/>
  <c r="AF5" i="2"/>
  <c r="AG5" i="2"/>
  <c r="AH5" i="2"/>
  <c r="AI5" i="2"/>
  <c r="AJ5" i="2"/>
  <c r="AK5" i="2"/>
  <c r="AL5" i="2"/>
  <c r="R5" i="2" s="1"/>
  <c r="AM5" i="2"/>
  <c r="AN5" i="2"/>
  <c r="AP5" i="2"/>
  <c r="AQ5" i="2"/>
  <c r="AS5" i="2"/>
  <c r="M5" i="2" s="1"/>
  <c r="AT5" i="2"/>
  <c r="AU5" i="2"/>
  <c r="AW5" i="2"/>
  <c r="AX5" i="2"/>
  <c r="AY5" i="2"/>
  <c r="AZ5" i="2"/>
  <c r="BA5" i="2"/>
  <c r="BB5" i="2"/>
  <c r="BC5" i="2"/>
  <c r="BD5" i="2"/>
  <c r="BE5" i="2"/>
  <c r="BV5" i="2"/>
  <c r="W5" i="2" s="1"/>
  <c r="BW5" i="2"/>
  <c r="BX5" i="2"/>
  <c r="AD6" i="2"/>
  <c r="AE6" i="2"/>
  <c r="AF6" i="2"/>
  <c r="AG6" i="2"/>
  <c r="AH6" i="2"/>
  <c r="AI6" i="2"/>
  <c r="AJ6" i="2"/>
  <c r="AK6" i="2"/>
  <c r="AL6" i="2"/>
  <c r="R6" i="2" s="1"/>
  <c r="AM6" i="2"/>
  <c r="AN6" i="2"/>
  <c r="AP6" i="2"/>
  <c r="AQ6" i="2"/>
  <c r="AS6" i="2"/>
  <c r="M6" i="2" s="1"/>
  <c r="AT6" i="2"/>
  <c r="AU6" i="2"/>
  <c r="AW6" i="2"/>
  <c r="AX6" i="2"/>
  <c r="AY6" i="2"/>
  <c r="AZ6" i="2"/>
  <c r="BA6" i="2"/>
  <c r="BB6" i="2"/>
  <c r="BC6" i="2"/>
  <c r="BD6" i="2"/>
  <c r="BE6" i="2"/>
  <c r="BV6" i="2"/>
  <c r="W6" i="2" s="1"/>
  <c r="BW6" i="2"/>
  <c r="BX6" i="2"/>
  <c r="AD3" i="2"/>
  <c r="AE3" i="2"/>
  <c r="AF3" i="2"/>
  <c r="AG3" i="2"/>
  <c r="AH3" i="2"/>
  <c r="AI3" i="2"/>
  <c r="AJ3" i="2"/>
  <c r="AK3" i="2"/>
  <c r="AL3" i="2"/>
  <c r="R3" i="2" s="1"/>
  <c r="AM3" i="2"/>
  <c r="AN3" i="2"/>
  <c r="AP3" i="2"/>
  <c r="AQ3" i="2"/>
  <c r="AS3" i="2"/>
  <c r="M3" i="2" s="1"/>
  <c r="AT3" i="2"/>
  <c r="AU3" i="2"/>
  <c r="AW3" i="2"/>
  <c r="AX3" i="2"/>
  <c r="AY3" i="2"/>
  <c r="AZ3" i="2"/>
  <c r="BA3" i="2"/>
  <c r="BB3" i="2"/>
  <c r="BC3" i="2"/>
  <c r="BD3" i="2"/>
  <c r="BE3" i="2"/>
  <c r="BV3" i="2"/>
  <c r="W3" i="2" s="1"/>
  <c r="BW3" i="2"/>
  <c r="BX3" i="2"/>
  <c r="AD56" i="2"/>
  <c r="AE56" i="2"/>
  <c r="AF56" i="2"/>
  <c r="AG56" i="2"/>
  <c r="AH56" i="2"/>
  <c r="AI56" i="2"/>
  <c r="AJ56" i="2"/>
  <c r="AK56" i="2"/>
  <c r="AL56" i="2"/>
  <c r="R56" i="2" s="1"/>
  <c r="AM56" i="2"/>
  <c r="AN56" i="2"/>
  <c r="AP56" i="2"/>
  <c r="AQ56" i="2"/>
  <c r="AS56" i="2"/>
  <c r="M56" i="2" s="1"/>
  <c r="AT56" i="2"/>
  <c r="AU56" i="2"/>
  <c r="AW56" i="2"/>
  <c r="AX56" i="2"/>
  <c r="AY56" i="2"/>
  <c r="AZ56" i="2"/>
  <c r="BA56" i="2"/>
  <c r="BB56" i="2"/>
  <c r="BC56" i="2"/>
  <c r="BD56" i="2"/>
  <c r="BE56" i="2"/>
  <c r="BV56" i="2"/>
  <c r="W56" i="2" s="1"/>
  <c r="BW56" i="2"/>
  <c r="BX56" i="2"/>
  <c r="AD24" i="2"/>
  <c r="AE24" i="2"/>
  <c r="AF24" i="2"/>
  <c r="AG24" i="2"/>
  <c r="AH24" i="2"/>
  <c r="AI24" i="2"/>
  <c r="AJ24" i="2"/>
  <c r="AK24" i="2"/>
  <c r="AL24" i="2"/>
  <c r="R24" i="2" s="1"/>
  <c r="AM24" i="2"/>
  <c r="AN24" i="2"/>
  <c r="AP24" i="2"/>
  <c r="AQ24" i="2"/>
  <c r="AS24" i="2"/>
  <c r="M24" i="2" s="1"/>
  <c r="AT24" i="2"/>
  <c r="AU24" i="2"/>
  <c r="Q24" i="2" s="1"/>
  <c r="AW24" i="2"/>
  <c r="AX24" i="2"/>
  <c r="AY24" i="2"/>
  <c r="AZ24" i="2"/>
  <c r="BA24" i="2"/>
  <c r="BB24" i="2"/>
  <c r="BC24" i="2"/>
  <c r="BD24" i="2"/>
  <c r="BE24" i="2"/>
  <c r="BV24" i="2"/>
  <c r="W24" i="2" s="1"/>
  <c r="BW24" i="2"/>
  <c r="BX24" i="2"/>
  <c r="AD44" i="2"/>
  <c r="AE44" i="2"/>
  <c r="AF44" i="2"/>
  <c r="AG44" i="2"/>
  <c r="AH44" i="2"/>
  <c r="AI44" i="2"/>
  <c r="AJ44" i="2"/>
  <c r="AK44" i="2"/>
  <c r="AL44" i="2"/>
  <c r="R44" i="2" s="1"/>
  <c r="AM44" i="2"/>
  <c r="AN44" i="2"/>
  <c r="AP44" i="2"/>
  <c r="AQ44" i="2"/>
  <c r="AS44" i="2"/>
  <c r="M44" i="2" s="1"/>
  <c r="AT44" i="2"/>
  <c r="AU44" i="2"/>
  <c r="Q44" i="2" s="1"/>
  <c r="AW44" i="2"/>
  <c r="AX44" i="2"/>
  <c r="AY44" i="2"/>
  <c r="AZ44" i="2"/>
  <c r="BA44" i="2"/>
  <c r="BB44" i="2"/>
  <c r="BC44" i="2"/>
  <c r="BD44" i="2"/>
  <c r="BE44" i="2"/>
  <c r="BV44" i="2"/>
  <c r="W44" i="2" s="1"/>
  <c r="BW44" i="2"/>
  <c r="BX44" i="2"/>
  <c r="AD23" i="2"/>
  <c r="AE23" i="2"/>
  <c r="AF23" i="2"/>
  <c r="AG23" i="2"/>
  <c r="AH23" i="2"/>
  <c r="AI23" i="2"/>
  <c r="AJ23" i="2"/>
  <c r="AK23" i="2"/>
  <c r="AL23" i="2"/>
  <c r="R23" i="2" s="1"/>
  <c r="AM23" i="2"/>
  <c r="AN23" i="2"/>
  <c r="AP23" i="2"/>
  <c r="AQ23" i="2"/>
  <c r="AS23" i="2"/>
  <c r="M23" i="2" s="1"/>
  <c r="AT23" i="2"/>
  <c r="AU23" i="2"/>
  <c r="Q23" i="2" s="1"/>
  <c r="AW23" i="2"/>
  <c r="AX23" i="2"/>
  <c r="AY23" i="2"/>
  <c r="AZ23" i="2"/>
  <c r="BA23" i="2"/>
  <c r="BB23" i="2"/>
  <c r="BC23" i="2"/>
  <c r="BD23" i="2"/>
  <c r="BE23" i="2"/>
  <c r="BV23" i="2"/>
  <c r="W23" i="2" s="1"/>
  <c r="BW23" i="2"/>
  <c r="BX23" i="2"/>
  <c r="AD27" i="2"/>
  <c r="AE27" i="2"/>
  <c r="AF27" i="2"/>
  <c r="AG27" i="2"/>
  <c r="AH27" i="2"/>
  <c r="AI27" i="2"/>
  <c r="AJ27" i="2"/>
  <c r="AK27" i="2"/>
  <c r="AL27" i="2"/>
  <c r="R27" i="2" s="1"/>
  <c r="AM27" i="2"/>
  <c r="AN27" i="2"/>
  <c r="AP27" i="2"/>
  <c r="AQ27" i="2"/>
  <c r="AS27" i="2"/>
  <c r="M27" i="2" s="1"/>
  <c r="AT27" i="2"/>
  <c r="AU27" i="2"/>
  <c r="Q27" i="2" s="1"/>
  <c r="AW27" i="2"/>
  <c r="AX27" i="2"/>
  <c r="AY27" i="2"/>
  <c r="AZ27" i="2"/>
  <c r="BA27" i="2"/>
  <c r="BB27" i="2"/>
  <c r="BC27" i="2"/>
  <c r="BD27" i="2"/>
  <c r="BE27" i="2"/>
  <c r="BV27" i="2"/>
  <c r="W27" i="2" s="1"/>
  <c r="BW27" i="2"/>
  <c r="BX27" i="2"/>
  <c r="AD21" i="2"/>
  <c r="AE21" i="2"/>
  <c r="AF21" i="2"/>
  <c r="AG21" i="2"/>
  <c r="AH21" i="2"/>
  <c r="AI21" i="2"/>
  <c r="AJ21" i="2"/>
  <c r="AK21" i="2"/>
  <c r="AL21" i="2"/>
  <c r="R21" i="2" s="1"/>
  <c r="AM21" i="2"/>
  <c r="AN21" i="2"/>
  <c r="AP21" i="2"/>
  <c r="AQ21" i="2"/>
  <c r="AS21" i="2"/>
  <c r="M21" i="2" s="1"/>
  <c r="AT21" i="2"/>
  <c r="AU21" i="2"/>
  <c r="Q21" i="2" s="1"/>
  <c r="AW21" i="2"/>
  <c r="AX21" i="2"/>
  <c r="AY21" i="2"/>
  <c r="AZ21" i="2"/>
  <c r="BA21" i="2"/>
  <c r="BB21" i="2"/>
  <c r="BC21" i="2"/>
  <c r="BD21" i="2"/>
  <c r="BE21" i="2"/>
  <c r="BV21" i="2"/>
  <c r="W21" i="2" s="1"/>
  <c r="BW21" i="2"/>
  <c r="BX21" i="2"/>
  <c r="AD54" i="2"/>
  <c r="AE54" i="2"/>
  <c r="AF54" i="2"/>
  <c r="AG54" i="2"/>
  <c r="AH54" i="2"/>
  <c r="AI54" i="2"/>
  <c r="AJ54" i="2"/>
  <c r="AK54" i="2"/>
  <c r="AL54" i="2"/>
  <c r="R54" i="2" s="1"/>
  <c r="AM54" i="2"/>
  <c r="AN54" i="2"/>
  <c r="AP54" i="2"/>
  <c r="AQ54" i="2"/>
  <c r="AS54" i="2"/>
  <c r="M54" i="2" s="1"/>
  <c r="AT54" i="2"/>
  <c r="AU54" i="2"/>
  <c r="AW54" i="2"/>
  <c r="AX54" i="2"/>
  <c r="AY54" i="2"/>
  <c r="AZ54" i="2"/>
  <c r="BA54" i="2"/>
  <c r="BB54" i="2"/>
  <c r="BC54" i="2"/>
  <c r="BD54" i="2"/>
  <c r="BE54" i="2"/>
  <c r="BV54" i="2"/>
  <c r="W54" i="2" s="1"/>
  <c r="BW54" i="2"/>
  <c r="BX54" i="2"/>
  <c r="AD46" i="2"/>
  <c r="AE46" i="2"/>
  <c r="AF46" i="2"/>
  <c r="AG46" i="2"/>
  <c r="AH46" i="2"/>
  <c r="AI46" i="2"/>
  <c r="AJ46" i="2"/>
  <c r="AK46" i="2"/>
  <c r="AL46" i="2"/>
  <c r="R46" i="2" s="1"/>
  <c r="AM46" i="2"/>
  <c r="AN46" i="2"/>
  <c r="AP46" i="2"/>
  <c r="AQ46" i="2"/>
  <c r="AS46" i="2"/>
  <c r="M46" i="2" s="1"/>
  <c r="AT46" i="2"/>
  <c r="AU46" i="2"/>
  <c r="Q46" i="2" s="1"/>
  <c r="AW46" i="2"/>
  <c r="AX46" i="2"/>
  <c r="AY46" i="2"/>
  <c r="AZ46" i="2"/>
  <c r="BA46" i="2"/>
  <c r="BB46" i="2"/>
  <c r="BC46" i="2"/>
  <c r="BD46" i="2"/>
  <c r="BE46" i="2"/>
  <c r="BV46" i="2"/>
  <c r="W46" i="2" s="1"/>
  <c r="BW46" i="2"/>
  <c r="BX46" i="2"/>
  <c r="AD61" i="2"/>
  <c r="AE61" i="2"/>
  <c r="AF61" i="2"/>
  <c r="AG61" i="2"/>
  <c r="AH61" i="2"/>
  <c r="AI61" i="2"/>
  <c r="AJ61" i="2"/>
  <c r="AK61" i="2"/>
  <c r="AL61" i="2"/>
  <c r="R61" i="2" s="1"/>
  <c r="AM61" i="2"/>
  <c r="AN61" i="2"/>
  <c r="AP61" i="2"/>
  <c r="AQ61" i="2"/>
  <c r="AS61" i="2"/>
  <c r="M61" i="2" s="1"/>
  <c r="AT61" i="2"/>
  <c r="AU61" i="2"/>
  <c r="AW61" i="2"/>
  <c r="AX61" i="2"/>
  <c r="AY61" i="2"/>
  <c r="AZ61" i="2"/>
  <c r="BA61" i="2"/>
  <c r="BB61" i="2"/>
  <c r="BC61" i="2"/>
  <c r="BD61" i="2"/>
  <c r="BE61" i="2"/>
  <c r="BV61" i="2"/>
  <c r="W61" i="2" s="1"/>
  <c r="BW61" i="2"/>
  <c r="BX61" i="2"/>
  <c r="AD22" i="2"/>
  <c r="AE22" i="2"/>
  <c r="AF22" i="2"/>
  <c r="AG22" i="2"/>
  <c r="AH22" i="2"/>
  <c r="AI22" i="2"/>
  <c r="AJ22" i="2"/>
  <c r="AK22" i="2"/>
  <c r="AL22" i="2"/>
  <c r="R22" i="2" s="1"/>
  <c r="AM22" i="2"/>
  <c r="AN22" i="2"/>
  <c r="AP22" i="2"/>
  <c r="AQ22" i="2"/>
  <c r="AS22" i="2"/>
  <c r="M22" i="2" s="1"/>
  <c r="AT22" i="2"/>
  <c r="AU22" i="2"/>
  <c r="Q22" i="2" s="1"/>
  <c r="AW22" i="2"/>
  <c r="AX22" i="2"/>
  <c r="AY22" i="2"/>
  <c r="AZ22" i="2"/>
  <c r="BA22" i="2"/>
  <c r="BB22" i="2"/>
  <c r="BC22" i="2"/>
  <c r="BD22" i="2"/>
  <c r="BE22" i="2"/>
  <c r="BV22" i="2"/>
  <c r="W22" i="2" s="1"/>
  <c r="BW22" i="2"/>
  <c r="BX22" i="2"/>
  <c r="AD40" i="2"/>
  <c r="AE40" i="2"/>
  <c r="AF40" i="2"/>
  <c r="AG40" i="2"/>
  <c r="AH40" i="2"/>
  <c r="AI40" i="2"/>
  <c r="AJ40" i="2"/>
  <c r="AK40" i="2"/>
  <c r="AL40" i="2"/>
  <c r="R40" i="2" s="1"/>
  <c r="AM40" i="2"/>
  <c r="AN40" i="2"/>
  <c r="AP40" i="2"/>
  <c r="AQ40" i="2"/>
  <c r="AS40" i="2"/>
  <c r="M40" i="2" s="1"/>
  <c r="AT40" i="2"/>
  <c r="AU40" i="2"/>
  <c r="Q40" i="2" s="1"/>
  <c r="AW40" i="2"/>
  <c r="AX40" i="2"/>
  <c r="AY40" i="2"/>
  <c r="AZ40" i="2"/>
  <c r="BA40" i="2"/>
  <c r="BB40" i="2"/>
  <c r="BC40" i="2"/>
  <c r="BD40" i="2"/>
  <c r="BE40" i="2"/>
  <c r="BV40" i="2"/>
  <c r="W40" i="2" s="1"/>
  <c r="BW40" i="2"/>
  <c r="BX40" i="2"/>
  <c r="AD37" i="2"/>
  <c r="AE37" i="2"/>
  <c r="AF37" i="2"/>
  <c r="AG37" i="2"/>
  <c r="AH37" i="2"/>
  <c r="AI37" i="2"/>
  <c r="AJ37" i="2"/>
  <c r="AK37" i="2"/>
  <c r="AL37" i="2"/>
  <c r="R37" i="2" s="1"/>
  <c r="AM37" i="2"/>
  <c r="AN37" i="2"/>
  <c r="AP37" i="2"/>
  <c r="AQ37" i="2"/>
  <c r="AS37" i="2"/>
  <c r="M37" i="2" s="1"/>
  <c r="AT37" i="2"/>
  <c r="AU37" i="2"/>
  <c r="Q37" i="2" s="1"/>
  <c r="AW37" i="2"/>
  <c r="AX37" i="2"/>
  <c r="AY37" i="2"/>
  <c r="AZ37" i="2"/>
  <c r="BA37" i="2"/>
  <c r="BB37" i="2"/>
  <c r="BC37" i="2"/>
  <c r="BD37" i="2"/>
  <c r="BE37" i="2"/>
  <c r="BV37" i="2"/>
  <c r="W37" i="2" s="1"/>
  <c r="BW37" i="2"/>
  <c r="BX37" i="2"/>
  <c r="AD26" i="2"/>
  <c r="AE26" i="2"/>
  <c r="AF26" i="2"/>
  <c r="AG26" i="2"/>
  <c r="AH26" i="2"/>
  <c r="AI26" i="2"/>
  <c r="AJ26" i="2"/>
  <c r="AK26" i="2"/>
  <c r="AL26" i="2"/>
  <c r="R26" i="2" s="1"/>
  <c r="AM26" i="2"/>
  <c r="AN26" i="2"/>
  <c r="AP26" i="2"/>
  <c r="AQ26" i="2"/>
  <c r="AS26" i="2"/>
  <c r="M26" i="2" s="1"/>
  <c r="AT26" i="2"/>
  <c r="AU26" i="2"/>
  <c r="Q26" i="2" s="1"/>
  <c r="AW26" i="2"/>
  <c r="AX26" i="2"/>
  <c r="AY26" i="2"/>
  <c r="AZ26" i="2"/>
  <c r="BA26" i="2"/>
  <c r="BB26" i="2"/>
  <c r="BC26" i="2"/>
  <c r="BD26" i="2"/>
  <c r="BE26" i="2"/>
  <c r="BV26" i="2"/>
  <c r="W26" i="2" s="1"/>
  <c r="BW26" i="2"/>
  <c r="BX26" i="2"/>
  <c r="AD10" i="2"/>
  <c r="AE10" i="2"/>
  <c r="AF10" i="2"/>
  <c r="AG10" i="2"/>
  <c r="AH10" i="2"/>
  <c r="AI10" i="2"/>
  <c r="AJ10" i="2"/>
  <c r="AK10" i="2"/>
  <c r="AL10" i="2"/>
  <c r="R10" i="2" s="1"/>
  <c r="AM10" i="2"/>
  <c r="AN10" i="2"/>
  <c r="AP10" i="2"/>
  <c r="AQ10" i="2"/>
  <c r="AS10" i="2"/>
  <c r="M10" i="2" s="1"/>
  <c r="AT10" i="2"/>
  <c r="AU10" i="2"/>
  <c r="AW10" i="2"/>
  <c r="AX10" i="2"/>
  <c r="AY10" i="2"/>
  <c r="AZ10" i="2"/>
  <c r="BA10" i="2"/>
  <c r="BB10" i="2"/>
  <c r="BC10" i="2"/>
  <c r="BD10" i="2"/>
  <c r="BE10" i="2"/>
  <c r="BV10" i="2"/>
  <c r="W10" i="2" s="1"/>
  <c r="BW10" i="2"/>
  <c r="BX10" i="2"/>
  <c r="AD4" i="2"/>
  <c r="AE4" i="2"/>
  <c r="AF4" i="2"/>
  <c r="AG4" i="2"/>
  <c r="AH4" i="2"/>
  <c r="AI4" i="2"/>
  <c r="AJ4" i="2"/>
  <c r="AK4" i="2"/>
  <c r="AL4" i="2"/>
  <c r="R4" i="2" s="1"/>
  <c r="AM4" i="2"/>
  <c r="AN4" i="2"/>
  <c r="AP4" i="2"/>
  <c r="AQ4" i="2"/>
  <c r="AS4" i="2"/>
  <c r="M4" i="2" s="1"/>
  <c r="AT4" i="2"/>
  <c r="AU4" i="2"/>
  <c r="AW4" i="2"/>
  <c r="AX4" i="2"/>
  <c r="AY4" i="2"/>
  <c r="AZ4" i="2"/>
  <c r="BA4" i="2"/>
  <c r="BB4" i="2"/>
  <c r="BC4" i="2"/>
  <c r="BD4" i="2"/>
  <c r="BE4" i="2"/>
  <c r="BV4" i="2"/>
  <c r="W4" i="2" s="1"/>
  <c r="BW4" i="2"/>
  <c r="BX4" i="2"/>
  <c r="AD53" i="2"/>
  <c r="AE53" i="2"/>
  <c r="AF53" i="2"/>
  <c r="AG53" i="2"/>
  <c r="AH53" i="2"/>
  <c r="AI53" i="2"/>
  <c r="AJ53" i="2"/>
  <c r="AK53" i="2"/>
  <c r="AL53" i="2"/>
  <c r="R53" i="2" s="1"/>
  <c r="AM53" i="2"/>
  <c r="AN53" i="2"/>
  <c r="AP53" i="2"/>
  <c r="AQ53" i="2"/>
  <c r="AS53" i="2"/>
  <c r="M53" i="2" s="1"/>
  <c r="AT53" i="2"/>
  <c r="AU53" i="2"/>
  <c r="AW53" i="2"/>
  <c r="AX53" i="2"/>
  <c r="AY53" i="2"/>
  <c r="AZ53" i="2"/>
  <c r="BA53" i="2"/>
  <c r="BB53" i="2"/>
  <c r="BC53" i="2"/>
  <c r="BD53" i="2"/>
  <c r="BE53" i="2"/>
  <c r="BV53" i="2"/>
  <c r="W53" i="2" s="1"/>
  <c r="BW53" i="2"/>
  <c r="BX53" i="2"/>
  <c r="AD45" i="2"/>
  <c r="AE45" i="2"/>
  <c r="AF45" i="2"/>
  <c r="AG45" i="2"/>
  <c r="AH45" i="2"/>
  <c r="AI45" i="2"/>
  <c r="AJ45" i="2"/>
  <c r="AK45" i="2"/>
  <c r="AL45" i="2"/>
  <c r="R45" i="2" s="1"/>
  <c r="AM45" i="2"/>
  <c r="AN45" i="2"/>
  <c r="AP45" i="2"/>
  <c r="AQ45" i="2"/>
  <c r="AS45" i="2"/>
  <c r="M45" i="2" s="1"/>
  <c r="AT45" i="2"/>
  <c r="AU45" i="2"/>
  <c r="Q45" i="2" s="1"/>
  <c r="AW45" i="2"/>
  <c r="AX45" i="2"/>
  <c r="AY45" i="2"/>
  <c r="AZ45" i="2"/>
  <c r="BA45" i="2"/>
  <c r="BB45" i="2"/>
  <c r="BC45" i="2"/>
  <c r="BD45" i="2"/>
  <c r="BE45" i="2"/>
  <c r="BV45" i="2"/>
  <c r="W45" i="2" s="1"/>
  <c r="BW45" i="2"/>
  <c r="BX45" i="2"/>
  <c r="AD20" i="2"/>
  <c r="AE20" i="2"/>
  <c r="AF20" i="2"/>
  <c r="AG20" i="2"/>
  <c r="AH20" i="2"/>
  <c r="AI20" i="2"/>
  <c r="AJ20" i="2"/>
  <c r="AK20" i="2"/>
  <c r="AL20" i="2"/>
  <c r="R20" i="2" s="1"/>
  <c r="AM20" i="2"/>
  <c r="AN20" i="2"/>
  <c r="AP20" i="2"/>
  <c r="AQ20" i="2"/>
  <c r="AS20" i="2"/>
  <c r="M20" i="2" s="1"/>
  <c r="AT20" i="2"/>
  <c r="AU20" i="2"/>
  <c r="Q20" i="2" s="1"/>
  <c r="AW20" i="2"/>
  <c r="AX20" i="2"/>
  <c r="AY20" i="2"/>
  <c r="AZ20" i="2"/>
  <c r="BA20" i="2"/>
  <c r="BB20" i="2"/>
  <c r="BC20" i="2"/>
  <c r="BD20" i="2"/>
  <c r="BE20" i="2"/>
  <c r="BV20" i="2"/>
  <c r="W20" i="2" s="1"/>
  <c r="BW20" i="2"/>
  <c r="BX20" i="2"/>
  <c r="AD39" i="2"/>
  <c r="AE39" i="2"/>
  <c r="AF39" i="2"/>
  <c r="AG39" i="2"/>
  <c r="AH39" i="2"/>
  <c r="AI39" i="2"/>
  <c r="AJ39" i="2"/>
  <c r="AK39" i="2"/>
  <c r="AL39" i="2"/>
  <c r="R39" i="2" s="1"/>
  <c r="AM39" i="2"/>
  <c r="AN39" i="2"/>
  <c r="AP39" i="2"/>
  <c r="AQ39" i="2"/>
  <c r="AS39" i="2"/>
  <c r="M39" i="2" s="1"/>
  <c r="AT39" i="2"/>
  <c r="AU39" i="2"/>
  <c r="Q39" i="2" s="1"/>
  <c r="AW39" i="2"/>
  <c r="AX39" i="2"/>
  <c r="AY39" i="2"/>
  <c r="AZ39" i="2"/>
  <c r="BA39" i="2"/>
  <c r="BB39" i="2"/>
  <c r="BC39" i="2"/>
  <c r="BD39" i="2"/>
  <c r="BE39" i="2"/>
  <c r="BV39" i="2"/>
  <c r="W39" i="2" s="1"/>
  <c r="BW39" i="2"/>
  <c r="BX39" i="2"/>
  <c r="AD43" i="2"/>
  <c r="AE43" i="2"/>
  <c r="AF43" i="2"/>
  <c r="AG43" i="2"/>
  <c r="AH43" i="2"/>
  <c r="AI43" i="2"/>
  <c r="AJ43" i="2"/>
  <c r="AK43" i="2"/>
  <c r="AL43" i="2"/>
  <c r="R43" i="2" s="1"/>
  <c r="AM43" i="2"/>
  <c r="AN43" i="2"/>
  <c r="AP43" i="2"/>
  <c r="AQ43" i="2"/>
  <c r="AS43" i="2"/>
  <c r="M43" i="2" s="1"/>
  <c r="AT43" i="2"/>
  <c r="AU43" i="2"/>
  <c r="Q43" i="2" s="1"/>
  <c r="AW43" i="2"/>
  <c r="AX43" i="2"/>
  <c r="AY43" i="2"/>
  <c r="AZ43" i="2"/>
  <c r="BA43" i="2"/>
  <c r="BB43" i="2"/>
  <c r="BC43" i="2"/>
  <c r="BD43" i="2"/>
  <c r="BE43" i="2"/>
  <c r="BV43" i="2"/>
  <c r="W43" i="2" s="1"/>
  <c r="BW43" i="2"/>
  <c r="BX43" i="2"/>
  <c r="AD12" i="2"/>
  <c r="AE12" i="2"/>
  <c r="AF12" i="2"/>
  <c r="AG12" i="2"/>
  <c r="AH12" i="2"/>
  <c r="AI12" i="2"/>
  <c r="AJ12" i="2"/>
  <c r="AK12" i="2"/>
  <c r="AL12" i="2"/>
  <c r="R12" i="2" s="1"/>
  <c r="AM12" i="2"/>
  <c r="AN12" i="2"/>
  <c r="AP12" i="2"/>
  <c r="AQ12" i="2"/>
  <c r="AS12" i="2"/>
  <c r="M12" i="2" s="1"/>
  <c r="AT12" i="2"/>
  <c r="AU12" i="2"/>
  <c r="AW12" i="2"/>
  <c r="AX12" i="2"/>
  <c r="AY12" i="2"/>
  <c r="AZ12" i="2"/>
  <c r="BA12" i="2"/>
  <c r="BB12" i="2"/>
  <c r="BC12" i="2"/>
  <c r="BD12" i="2"/>
  <c r="BE12" i="2"/>
  <c r="BV12" i="2"/>
  <c r="W12" i="2" s="1"/>
  <c r="BW12" i="2"/>
  <c r="BX12" i="2"/>
  <c r="AD17" i="2"/>
  <c r="AE17" i="2"/>
  <c r="AF17" i="2"/>
  <c r="AG17" i="2"/>
  <c r="AH17" i="2"/>
  <c r="AI17" i="2"/>
  <c r="AJ17" i="2"/>
  <c r="AK17" i="2"/>
  <c r="AL17" i="2"/>
  <c r="R17" i="2" s="1"/>
  <c r="AM17" i="2"/>
  <c r="AN17" i="2"/>
  <c r="AP17" i="2"/>
  <c r="AQ17" i="2"/>
  <c r="AS17" i="2"/>
  <c r="M17" i="2" s="1"/>
  <c r="AT17" i="2"/>
  <c r="AU17" i="2"/>
  <c r="Q17" i="2" s="1"/>
  <c r="AW17" i="2"/>
  <c r="AX17" i="2"/>
  <c r="AY17" i="2"/>
  <c r="AZ17" i="2"/>
  <c r="BA17" i="2"/>
  <c r="BB17" i="2"/>
  <c r="BC17" i="2"/>
  <c r="BD17" i="2"/>
  <c r="BE17" i="2"/>
  <c r="BV17" i="2"/>
  <c r="W17" i="2" s="1"/>
  <c r="BW17" i="2"/>
  <c r="BX17" i="2"/>
  <c r="AD51" i="2"/>
  <c r="AE51" i="2"/>
  <c r="AF51" i="2"/>
  <c r="AG51" i="2"/>
  <c r="AH51" i="2"/>
  <c r="AI51" i="2"/>
  <c r="AJ51" i="2"/>
  <c r="AK51" i="2"/>
  <c r="AL51" i="2"/>
  <c r="R51" i="2" s="1"/>
  <c r="AM51" i="2"/>
  <c r="AN51" i="2"/>
  <c r="AP51" i="2"/>
  <c r="AQ51" i="2"/>
  <c r="AS51" i="2"/>
  <c r="M51" i="2" s="1"/>
  <c r="AT51" i="2"/>
  <c r="AU51" i="2"/>
  <c r="AW51" i="2"/>
  <c r="AX51" i="2"/>
  <c r="AY51" i="2"/>
  <c r="AZ51" i="2"/>
  <c r="BA51" i="2"/>
  <c r="BB51" i="2"/>
  <c r="BC51" i="2"/>
  <c r="BD51" i="2"/>
  <c r="BE51" i="2"/>
  <c r="BV51" i="2"/>
  <c r="W51" i="2" s="1"/>
  <c r="BW51" i="2"/>
  <c r="BX51" i="2"/>
  <c r="AD50" i="2"/>
  <c r="AE50" i="2"/>
  <c r="AF50" i="2"/>
  <c r="AG50" i="2"/>
  <c r="AH50" i="2"/>
  <c r="AI50" i="2"/>
  <c r="AJ50" i="2"/>
  <c r="AK50" i="2"/>
  <c r="AL50" i="2"/>
  <c r="R50" i="2" s="1"/>
  <c r="AM50" i="2"/>
  <c r="AN50" i="2"/>
  <c r="AP50" i="2"/>
  <c r="AQ50" i="2"/>
  <c r="AS50" i="2"/>
  <c r="M50" i="2" s="1"/>
  <c r="AT50" i="2"/>
  <c r="AU50" i="2"/>
  <c r="AW50" i="2"/>
  <c r="AX50" i="2"/>
  <c r="AY50" i="2"/>
  <c r="AZ50" i="2"/>
  <c r="BA50" i="2"/>
  <c r="BB50" i="2"/>
  <c r="BC50" i="2"/>
  <c r="BD50" i="2"/>
  <c r="BE50" i="2"/>
  <c r="BV50" i="2"/>
  <c r="W50" i="2" s="1"/>
  <c r="BW50" i="2"/>
  <c r="BX50" i="2"/>
  <c r="AD31" i="2"/>
  <c r="AE31" i="2"/>
  <c r="AF31" i="2"/>
  <c r="AG31" i="2"/>
  <c r="AH31" i="2"/>
  <c r="AI31" i="2"/>
  <c r="AJ31" i="2"/>
  <c r="AK31" i="2"/>
  <c r="AL31" i="2"/>
  <c r="R31" i="2" s="1"/>
  <c r="AM31" i="2"/>
  <c r="AN31" i="2"/>
  <c r="AP31" i="2"/>
  <c r="AQ31" i="2"/>
  <c r="AS31" i="2"/>
  <c r="M31" i="2" s="1"/>
  <c r="AT31" i="2"/>
  <c r="AU31" i="2"/>
  <c r="Q31" i="2" s="1"/>
  <c r="AW31" i="2"/>
  <c r="AX31" i="2"/>
  <c r="AY31" i="2"/>
  <c r="AZ31" i="2"/>
  <c r="BA31" i="2"/>
  <c r="BB31" i="2"/>
  <c r="BC31" i="2"/>
  <c r="BD31" i="2"/>
  <c r="BE31" i="2"/>
  <c r="BV31" i="2"/>
  <c r="W31" i="2" s="1"/>
  <c r="BW31" i="2"/>
  <c r="BX31" i="2"/>
  <c r="AD7" i="2"/>
  <c r="AE7" i="2"/>
  <c r="AF7" i="2"/>
  <c r="AG7" i="2"/>
  <c r="AH7" i="2"/>
  <c r="AI7" i="2"/>
  <c r="AJ7" i="2"/>
  <c r="AK7" i="2"/>
  <c r="AL7" i="2"/>
  <c r="R7" i="2" s="1"/>
  <c r="AM7" i="2"/>
  <c r="AN7" i="2"/>
  <c r="AP7" i="2"/>
  <c r="AQ7" i="2"/>
  <c r="AS7" i="2"/>
  <c r="M7" i="2" s="1"/>
  <c r="AT7" i="2"/>
  <c r="AU7" i="2"/>
  <c r="AW7" i="2"/>
  <c r="AX7" i="2"/>
  <c r="AY7" i="2"/>
  <c r="AZ7" i="2"/>
  <c r="BA7" i="2"/>
  <c r="BB7" i="2"/>
  <c r="BC7" i="2"/>
  <c r="BD7" i="2"/>
  <c r="BE7" i="2"/>
  <c r="BV7" i="2"/>
  <c r="W7" i="2" s="1"/>
  <c r="BW7" i="2"/>
  <c r="BX7" i="2"/>
  <c r="AD48" i="2"/>
  <c r="AE48" i="2"/>
  <c r="AF48" i="2"/>
  <c r="AG48" i="2"/>
  <c r="AH48" i="2"/>
  <c r="AI48" i="2"/>
  <c r="AJ48" i="2"/>
  <c r="AK48" i="2"/>
  <c r="AL48" i="2"/>
  <c r="R48" i="2" s="1"/>
  <c r="AM48" i="2"/>
  <c r="AN48" i="2"/>
  <c r="AP48" i="2"/>
  <c r="AQ48" i="2"/>
  <c r="AS48" i="2"/>
  <c r="M48" i="2" s="1"/>
  <c r="AT48" i="2"/>
  <c r="AU48" i="2"/>
  <c r="AW48" i="2"/>
  <c r="AX48" i="2"/>
  <c r="AY48" i="2"/>
  <c r="AZ48" i="2"/>
  <c r="BA48" i="2"/>
  <c r="BB48" i="2"/>
  <c r="BC48" i="2"/>
  <c r="BD48" i="2"/>
  <c r="BE48" i="2"/>
  <c r="BV48" i="2"/>
  <c r="W48" i="2" s="1"/>
  <c r="BW48" i="2"/>
  <c r="BX48" i="2"/>
  <c r="AD49" i="2"/>
  <c r="AE49" i="2"/>
  <c r="AF49" i="2"/>
  <c r="AG49" i="2"/>
  <c r="AH49" i="2"/>
  <c r="AI49" i="2"/>
  <c r="AJ49" i="2"/>
  <c r="AK49" i="2"/>
  <c r="AL49" i="2"/>
  <c r="R49" i="2" s="1"/>
  <c r="AM49" i="2"/>
  <c r="AN49" i="2"/>
  <c r="AP49" i="2"/>
  <c r="AQ49" i="2"/>
  <c r="AS49" i="2"/>
  <c r="M49" i="2" s="1"/>
  <c r="AT49" i="2"/>
  <c r="AU49" i="2"/>
  <c r="AW49" i="2"/>
  <c r="AX49" i="2"/>
  <c r="AY49" i="2"/>
  <c r="AZ49" i="2"/>
  <c r="BA49" i="2"/>
  <c r="BB49" i="2"/>
  <c r="BC49" i="2"/>
  <c r="BD49" i="2"/>
  <c r="BE49" i="2"/>
  <c r="BV49" i="2"/>
  <c r="W49" i="2" s="1"/>
  <c r="BW49" i="2"/>
  <c r="BX49" i="2"/>
  <c r="AD41" i="2"/>
  <c r="AE41" i="2"/>
  <c r="AF41" i="2"/>
  <c r="AG41" i="2"/>
  <c r="AH41" i="2"/>
  <c r="AI41" i="2"/>
  <c r="AJ41" i="2"/>
  <c r="AK41" i="2"/>
  <c r="AL41" i="2"/>
  <c r="R41" i="2" s="1"/>
  <c r="AM41" i="2"/>
  <c r="AN41" i="2"/>
  <c r="AP41" i="2"/>
  <c r="AQ41" i="2"/>
  <c r="AS41" i="2"/>
  <c r="M41" i="2" s="1"/>
  <c r="AT41" i="2"/>
  <c r="AU41" i="2"/>
  <c r="Q41" i="2" s="1"/>
  <c r="AW41" i="2"/>
  <c r="AX41" i="2"/>
  <c r="AY41" i="2"/>
  <c r="AZ41" i="2"/>
  <c r="BA41" i="2"/>
  <c r="BB41" i="2"/>
  <c r="BC41" i="2"/>
  <c r="BD41" i="2"/>
  <c r="BE41" i="2"/>
  <c r="BV41" i="2"/>
  <c r="W41" i="2" s="1"/>
  <c r="BW41" i="2"/>
  <c r="BX41" i="2"/>
  <c r="AD18" i="2"/>
  <c r="AE18" i="2"/>
  <c r="AF18" i="2"/>
  <c r="AG18" i="2"/>
  <c r="AH18" i="2"/>
  <c r="AI18" i="2"/>
  <c r="AJ18" i="2"/>
  <c r="AK18" i="2"/>
  <c r="AL18" i="2"/>
  <c r="R18" i="2" s="1"/>
  <c r="AM18" i="2"/>
  <c r="AN18" i="2"/>
  <c r="AP18" i="2"/>
  <c r="AQ18" i="2"/>
  <c r="AS18" i="2"/>
  <c r="M18" i="2" s="1"/>
  <c r="AT18" i="2"/>
  <c r="AU18" i="2"/>
  <c r="Q18" i="2" s="1"/>
  <c r="AW18" i="2"/>
  <c r="AX18" i="2"/>
  <c r="AY18" i="2"/>
  <c r="AZ18" i="2"/>
  <c r="BA18" i="2"/>
  <c r="BB18" i="2"/>
  <c r="BC18" i="2"/>
  <c r="BD18" i="2"/>
  <c r="BE18" i="2"/>
  <c r="BV18" i="2"/>
  <c r="W18" i="2" s="1"/>
  <c r="BW18" i="2"/>
  <c r="BX18" i="2"/>
  <c r="AD47" i="2"/>
  <c r="AE47" i="2"/>
  <c r="AF47" i="2"/>
  <c r="AG47" i="2"/>
  <c r="AH47" i="2"/>
  <c r="AI47" i="2"/>
  <c r="AJ47" i="2"/>
  <c r="AK47" i="2"/>
  <c r="AL47" i="2"/>
  <c r="R47" i="2" s="1"/>
  <c r="AM47" i="2"/>
  <c r="AN47" i="2"/>
  <c r="AP47" i="2"/>
  <c r="AQ47" i="2"/>
  <c r="AS47" i="2"/>
  <c r="M47" i="2" s="1"/>
  <c r="AT47" i="2"/>
  <c r="AU47" i="2"/>
  <c r="Q47" i="2" s="1"/>
  <c r="AW47" i="2"/>
  <c r="AX47" i="2"/>
  <c r="AY47" i="2"/>
  <c r="AZ47" i="2"/>
  <c r="BA47" i="2"/>
  <c r="BB47" i="2"/>
  <c r="BC47" i="2"/>
  <c r="BD47" i="2"/>
  <c r="BE47" i="2"/>
  <c r="BV47" i="2"/>
  <c r="W47" i="2" s="1"/>
  <c r="BW47" i="2"/>
  <c r="BX47" i="2"/>
  <c r="AD33" i="2"/>
  <c r="AE33" i="2"/>
  <c r="AF33" i="2"/>
  <c r="AG33" i="2"/>
  <c r="AH33" i="2"/>
  <c r="AI33" i="2"/>
  <c r="AJ33" i="2"/>
  <c r="AK33" i="2"/>
  <c r="AL33" i="2"/>
  <c r="R33" i="2" s="1"/>
  <c r="AM33" i="2"/>
  <c r="AN33" i="2"/>
  <c r="AP33" i="2"/>
  <c r="AQ33" i="2"/>
  <c r="AS33" i="2"/>
  <c r="M33" i="2" s="1"/>
  <c r="AT33" i="2"/>
  <c r="AU33" i="2"/>
  <c r="Q33" i="2" s="1"/>
  <c r="AW33" i="2"/>
  <c r="AX33" i="2"/>
  <c r="AY33" i="2"/>
  <c r="AZ33" i="2"/>
  <c r="BA33" i="2"/>
  <c r="BB33" i="2"/>
  <c r="BC33" i="2"/>
  <c r="BD33" i="2"/>
  <c r="BE33" i="2"/>
  <c r="BV33" i="2"/>
  <c r="W33" i="2" s="1"/>
  <c r="BW33" i="2"/>
  <c r="BX33" i="2"/>
  <c r="AD42" i="2"/>
  <c r="AE42" i="2"/>
  <c r="AF42" i="2"/>
  <c r="AG42" i="2"/>
  <c r="AH42" i="2"/>
  <c r="AI42" i="2"/>
  <c r="AJ42" i="2"/>
  <c r="AK42" i="2"/>
  <c r="AL42" i="2"/>
  <c r="R42" i="2" s="1"/>
  <c r="AM42" i="2"/>
  <c r="AN42" i="2"/>
  <c r="AP42" i="2"/>
  <c r="AQ42" i="2"/>
  <c r="AS42" i="2"/>
  <c r="M42" i="2" s="1"/>
  <c r="AT42" i="2"/>
  <c r="AU42" i="2"/>
  <c r="Q42" i="2" s="1"/>
  <c r="AW42" i="2"/>
  <c r="AX42" i="2"/>
  <c r="AY42" i="2"/>
  <c r="AZ42" i="2"/>
  <c r="BA42" i="2"/>
  <c r="BB42" i="2"/>
  <c r="BC42" i="2"/>
  <c r="BD42" i="2"/>
  <c r="BE42" i="2"/>
  <c r="BV42" i="2"/>
  <c r="W42" i="2" s="1"/>
  <c r="BW42" i="2"/>
  <c r="BX42" i="2"/>
  <c r="AD57" i="2"/>
  <c r="AE57" i="2"/>
  <c r="AF57" i="2"/>
  <c r="AG57" i="2"/>
  <c r="AH57" i="2"/>
  <c r="AI57" i="2"/>
  <c r="AJ57" i="2"/>
  <c r="AK57" i="2"/>
  <c r="AL57" i="2"/>
  <c r="R57" i="2" s="1"/>
  <c r="AM57" i="2"/>
  <c r="AN57" i="2"/>
  <c r="AP57" i="2"/>
  <c r="AQ57" i="2"/>
  <c r="AS57" i="2"/>
  <c r="M57" i="2" s="1"/>
  <c r="AT57" i="2"/>
  <c r="AU57" i="2"/>
  <c r="AW57" i="2"/>
  <c r="AX57" i="2"/>
  <c r="AY57" i="2"/>
  <c r="AZ57" i="2"/>
  <c r="BA57" i="2"/>
  <c r="BB57" i="2"/>
  <c r="BC57" i="2"/>
  <c r="BD57" i="2"/>
  <c r="BE57" i="2"/>
  <c r="BV57" i="2"/>
  <c r="W57" i="2" s="1"/>
  <c r="BW57" i="2"/>
  <c r="BX57" i="2"/>
  <c r="AD55" i="2"/>
  <c r="AE55" i="2"/>
  <c r="AF55" i="2"/>
  <c r="AG55" i="2"/>
  <c r="AH55" i="2"/>
  <c r="AI55" i="2"/>
  <c r="AJ55" i="2"/>
  <c r="AK55" i="2"/>
  <c r="AL55" i="2"/>
  <c r="R55" i="2" s="1"/>
  <c r="AM55" i="2"/>
  <c r="AN55" i="2"/>
  <c r="AP55" i="2"/>
  <c r="AQ55" i="2"/>
  <c r="AS55" i="2"/>
  <c r="M55" i="2" s="1"/>
  <c r="AT55" i="2"/>
  <c r="AU55" i="2"/>
  <c r="AW55" i="2"/>
  <c r="AX55" i="2"/>
  <c r="AY55" i="2"/>
  <c r="AZ55" i="2"/>
  <c r="BA55" i="2"/>
  <c r="BB55" i="2"/>
  <c r="BC55" i="2"/>
  <c r="BD55" i="2"/>
  <c r="BE55" i="2"/>
  <c r="BV55" i="2"/>
  <c r="W55" i="2" s="1"/>
  <c r="BW55" i="2"/>
  <c r="BX55" i="2"/>
  <c r="AD36" i="2"/>
  <c r="AE36" i="2"/>
  <c r="AF36" i="2"/>
  <c r="AG36" i="2"/>
  <c r="AH36" i="2"/>
  <c r="AI36" i="2"/>
  <c r="AJ36" i="2"/>
  <c r="AK36" i="2"/>
  <c r="AL36" i="2"/>
  <c r="R36" i="2" s="1"/>
  <c r="AM36" i="2"/>
  <c r="AN36" i="2"/>
  <c r="AP36" i="2"/>
  <c r="AQ36" i="2"/>
  <c r="AS36" i="2"/>
  <c r="M36" i="2" s="1"/>
  <c r="AT36" i="2"/>
  <c r="AU36" i="2"/>
  <c r="Q36" i="2" s="1"/>
  <c r="AW36" i="2"/>
  <c r="AX36" i="2"/>
  <c r="AY36" i="2"/>
  <c r="AZ36" i="2"/>
  <c r="BA36" i="2"/>
  <c r="BB36" i="2"/>
  <c r="BC36" i="2"/>
  <c r="BD36" i="2"/>
  <c r="BE36" i="2"/>
  <c r="BV36" i="2"/>
  <c r="W36" i="2" s="1"/>
  <c r="BW36" i="2"/>
  <c r="BX36" i="2"/>
  <c r="AD58" i="2"/>
  <c r="AE58" i="2"/>
  <c r="AF58" i="2"/>
  <c r="AG58" i="2"/>
  <c r="AH58" i="2"/>
  <c r="AI58" i="2"/>
  <c r="AJ58" i="2"/>
  <c r="AK58" i="2"/>
  <c r="AL58" i="2"/>
  <c r="R58" i="2" s="1"/>
  <c r="AM58" i="2"/>
  <c r="AN58" i="2"/>
  <c r="AP58" i="2"/>
  <c r="AQ58" i="2"/>
  <c r="AS58" i="2"/>
  <c r="M58" i="2" s="1"/>
  <c r="AT58" i="2"/>
  <c r="AU58" i="2"/>
  <c r="AW58" i="2"/>
  <c r="AX58" i="2"/>
  <c r="AY58" i="2"/>
  <c r="AZ58" i="2"/>
  <c r="BA58" i="2"/>
  <c r="BB58" i="2"/>
  <c r="BC58" i="2"/>
  <c r="BD58" i="2"/>
  <c r="BE58" i="2"/>
  <c r="BV58" i="2"/>
  <c r="W58" i="2" s="1"/>
  <c r="BW58" i="2"/>
  <c r="BX58" i="2"/>
  <c r="AD35" i="2"/>
  <c r="AE35" i="2"/>
  <c r="AF35" i="2"/>
  <c r="AG35" i="2"/>
  <c r="AH35" i="2"/>
  <c r="AI35" i="2"/>
  <c r="AJ35" i="2"/>
  <c r="AK35" i="2"/>
  <c r="AL35" i="2"/>
  <c r="R35" i="2" s="1"/>
  <c r="AM35" i="2"/>
  <c r="AN35" i="2"/>
  <c r="AP35" i="2"/>
  <c r="AQ35" i="2"/>
  <c r="AS35" i="2"/>
  <c r="M35" i="2" s="1"/>
  <c r="AT35" i="2"/>
  <c r="AU35" i="2"/>
  <c r="Q35" i="2" s="1"/>
  <c r="AW35" i="2"/>
  <c r="AX35" i="2"/>
  <c r="AY35" i="2"/>
  <c r="AZ35" i="2"/>
  <c r="BA35" i="2"/>
  <c r="BB35" i="2"/>
  <c r="BC35" i="2"/>
  <c r="BD35" i="2"/>
  <c r="BE35" i="2"/>
  <c r="BV35" i="2"/>
  <c r="W35" i="2" s="1"/>
  <c r="BW35" i="2"/>
  <c r="BX35" i="2"/>
  <c r="AD16" i="2"/>
  <c r="AE16" i="2"/>
  <c r="AF16" i="2"/>
  <c r="AG16" i="2"/>
  <c r="AH16" i="2"/>
  <c r="AI16" i="2"/>
  <c r="AJ16" i="2"/>
  <c r="AK16" i="2"/>
  <c r="AL16" i="2"/>
  <c r="R16" i="2" s="1"/>
  <c r="AM16" i="2"/>
  <c r="AN16" i="2"/>
  <c r="AP16" i="2"/>
  <c r="AQ16" i="2"/>
  <c r="AS16" i="2"/>
  <c r="M16" i="2" s="1"/>
  <c r="AT16" i="2"/>
  <c r="AU16" i="2"/>
  <c r="Q16" i="2" s="1"/>
  <c r="AW16" i="2"/>
  <c r="AX16" i="2"/>
  <c r="AY16" i="2"/>
  <c r="AZ16" i="2"/>
  <c r="BA16" i="2"/>
  <c r="BB16" i="2"/>
  <c r="BC16" i="2"/>
  <c r="BD16" i="2"/>
  <c r="BE16" i="2"/>
  <c r="BV16" i="2"/>
  <c r="W16" i="2" s="1"/>
  <c r="BW16" i="2"/>
  <c r="BX16" i="2"/>
  <c r="AD34" i="2"/>
  <c r="AE34" i="2"/>
  <c r="AF34" i="2"/>
  <c r="AG34" i="2"/>
  <c r="AH34" i="2"/>
  <c r="AI34" i="2"/>
  <c r="AJ34" i="2"/>
  <c r="AK34" i="2"/>
  <c r="AL34" i="2"/>
  <c r="R34" i="2" s="1"/>
  <c r="AM34" i="2"/>
  <c r="AN34" i="2"/>
  <c r="AP34" i="2"/>
  <c r="AQ34" i="2"/>
  <c r="AS34" i="2"/>
  <c r="M34" i="2" s="1"/>
  <c r="AT34" i="2"/>
  <c r="AU34" i="2"/>
  <c r="Q34" i="2" s="1"/>
  <c r="AW34" i="2"/>
  <c r="AX34" i="2"/>
  <c r="AY34" i="2"/>
  <c r="AZ34" i="2"/>
  <c r="BA34" i="2"/>
  <c r="BB34" i="2"/>
  <c r="BC34" i="2"/>
  <c r="BD34" i="2"/>
  <c r="BE34" i="2"/>
  <c r="BV34" i="2"/>
  <c r="W34" i="2" s="1"/>
  <c r="BW34" i="2"/>
  <c r="BX34" i="2"/>
  <c r="AD25" i="2"/>
  <c r="AE25" i="2"/>
  <c r="AF25" i="2"/>
  <c r="AG25" i="2"/>
  <c r="AH25" i="2"/>
  <c r="AI25" i="2"/>
  <c r="AJ25" i="2"/>
  <c r="AK25" i="2"/>
  <c r="AL25" i="2"/>
  <c r="R25" i="2" s="1"/>
  <c r="AM25" i="2"/>
  <c r="AN25" i="2"/>
  <c r="AP25" i="2"/>
  <c r="AQ25" i="2"/>
  <c r="AS25" i="2"/>
  <c r="M25" i="2" s="1"/>
  <c r="AT25" i="2"/>
  <c r="AU25" i="2"/>
  <c r="Q25" i="2" s="1"/>
  <c r="AW25" i="2"/>
  <c r="AX25" i="2"/>
  <c r="AY25" i="2"/>
  <c r="AZ25" i="2"/>
  <c r="BA25" i="2"/>
  <c r="BB25" i="2"/>
  <c r="BC25" i="2"/>
  <c r="BD25" i="2"/>
  <c r="BE25" i="2"/>
  <c r="BV25" i="2"/>
  <c r="W25" i="2" s="1"/>
  <c r="BW25" i="2"/>
  <c r="BX25" i="2"/>
  <c r="AD38" i="2"/>
  <c r="AE38" i="2"/>
  <c r="AF38" i="2"/>
  <c r="AG38" i="2"/>
  <c r="AH38" i="2"/>
  <c r="AI38" i="2"/>
  <c r="AJ38" i="2"/>
  <c r="AK38" i="2"/>
  <c r="AL38" i="2"/>
  <c r="R38" i="2" s="1"/>
  <c r="AM38" i="2"/>
  <c r="AN38" i="2"/>
  <c r="AP38" i="2"/>
  <c r="AQ38" i="2"/>
  <c r="AS38" i="2"/>
  <c r="M38" i="2" s="1"/>
  <c r="AT38" i="2"/>
  <c r="AU38" i="2"/>
  <c r="Q38" i="2" s="1"/>
  <c r="AW38" i="2"/>
  <c r="AX38" i="2"/>
  <c r="AY38" i="2"/>
  <c r="AZ38" i="2"/>
  <c r="BA38" i="2"/>
  <c r="BB38" i="2"/>
  <c r="BC38" i="2"/>
  <c r="BD38" i="2"/>
  <c r="BE38" i="2"/>
  <c r="BV38" i="2"/>
  <c r="W38" i="2" s="1"/>
  <c r="BW38" i="2"/>
  <c r="BX38" i="2"/>
  <c r="AD32" i="2"/>
  <c r="AE32" i="2"/>
  <c r="AF32" i="2"/>
  <c r="AG32" i="2"/>
  <c r="AH32" i="2"/>
  <c r="AI32" i="2"/>
  <c r="AJ32" i="2"/>
  <c r="AK32" i="2"/>
  <c r="AL32" i="2"/>
  <c r="R32" i="2" s="1"/>
  <c r="AM32" i="2"/>
  <c r="AN32" i="2"/>
  <c r="AP32" i="2"/>
  <c r="AQ32" i="2"/>
  <c r="AS32" i="2"/>
  <c r="M32" i="2" s="1"/>
  <c r="AT32" i="2"/>
  <c r="AU32" i="2"/>
  <c r="Q32" i="2" s="1"/>
  <c r="AW32" i="2"/>
  <c r="AX32" i="2"/>
  <c r="AY32" i="2"/>
  <c r="AZ32" i="2"/>
  <c r="BA32" i="2"/>
  <c r="BB32" i="2"/>
  <c r="BC32" i="2"/>
  <c r="BD32" i="2"/>
  <c r="BE32" i="2"/>
  <c r="BV32" i="2"/>
  <c r="W32" i="2" s="1"/>
  <c r="BW32" i="2"/>
  <c r="BX32" i="2"/>
  <c r="AD52" i="2"/>
  <c r="AE52" i="2"/>
  <c r="AF52" i="2"/>
  <c r="AG52" i="2"/>
  <c r="AH52" i="2"/>
  <c r="AI52" i="2"/>
  <c r="AJ52" i="2"/>
  <c r="AK52" i="2"/>
  <c r="AL52" i="2"/>
  <c r="R52" i="2" s="1"/>
  <c r="AM52" i="2"/>
  <c r="AN52" i="2"/>
  <c r="AP52" i="2"/>
  <c r="AQ52" i="2"/>
  <c r="AS52" i="2"/>
  <c r="M52" i="2" s="1"/>
  <c r="AT52" i="2"/>
  <c r="AU52" i="2"/>
  <c r="AW52" i="2"/>
  <c r="AX52" i="2"/>
  <c r="AY52" i="2"/>
  <c r="AZ52" i="2"/>
  <c r="BA52" i="2"/>
  <c r="BB52" i="2"/>
  <c r="BC52" i="2"/>
  <c r="BD52" i="2"/>
  <c r="BE52" i="2"/>
  <c r="BV52" i="2"/>
  <c r="W52" i="2" s="1"/>
  <c r="BW52" i="2"/>
  <c r="BX52" i="2"/>
  <c r="AD60" i="2"/>
  <c r="AE60" i="2"/>
  <c r="AF60" i="2"/>
  <c r="AG60" i="2"/>
  <c r="AH60" i="2"/>
  <c r="AI60" i="2"/>
  <c r="AJ60" i="2"/>
  <c r="AK60" i="2"/>
  <c r="AL60" i="2"/>
  <c r="R60" i="2" s="1"/>
  <c r="AM60" i="2"/>
  <c r="AN60" i="2"/>
  <c r="AP60" i="2"/>
  <c r="AQ60" i="2"/>
  <c r="AS60" i="2"/>
  <c r="M60" i="2" s="1"/>
  <c r="AT60" i="2"/>
  <c r="AU60" i="2"/>
  <c r="AW60" i="2"/>
  <c r="AX60" i="2"/>
  <c r="AY60" i="2"/>
  <c r="AZ60" i="2"/>
  <c r="BA60" i="2"/>
  <c r="BB60" i="2"/>
  <c r="BC60" i="2"/>
  <c r="BD60" i="2"/>
  <c r="BE60" i="2"/>
  <c r="BV60" i="2"/>
  <c r="W60" i="2" s="1"/>
  <c r="BW60" i="2"/>
  <c r="BX60" i="2"/>
  <c r="AD62" i="2"/>
  <c r="AE62" i="2"/>
  <c r="AF62" i="2"/>
  <c r="AG62" i="2"/>
  <c r="AH62" i="2"/>
  <c r="AI62" i="2"/>
  <c r="AJ62" i="2"/>
  <c r="AK62" i="2"/>
  <c r="AL62" i="2"/>
  <c r="R62" i="2" s="1"/>
  <c r="AM62" i="2"/>
  <c r="AN62" i="2"/>
  <c r="AP62" i="2"/>
  <c r="AQ62" i="2"/>
  <c r="AS62" i="2"/>
  <c r="M62" i="2" s="1"/>
  <c r="AT62" i="2"/>
  <c r="AU62" i="2"/>
  <c r="AW62" i="2"/>
  <c r="AX62" i="2"/>
  <c r="AY62" i="2"/>
  <c r="AZ62" i="2"/>
  <c r="BA62" i="2"/>
  <c r="BB62" i="2"/>
  <c r="BC62" i="2"/>
  <c r="BD62" i="2"/>
  <c r="BE62" i="2"/>
  <c r="BV62" i="2"/>
  <c r="W62" i="2" s="1"/>
  <c r="BW62" i="2"/>
  <c r="BX62" i="2"/>
  <c r="AD59" i="2"/>
  <c r="AE59" i="2"/>
  <c r="AF59" i="2"/>
  <c r="AG59" i="2"/>
  <c r="AH59" i="2"/>
  <c r="AI59" i="2"/>
  <c r="AJ59" i="2"/>
  <c r="AK59" i="2"/>
  <c r="AL59" i="2"/>
  <c r="R59" i="2" s="1"/>
  <c r="AM59" i="2"/>
  <c r="AN59" i="2"/>
  <c r="AP59" i="2"/>
  <c r="AQ59" i="2"/>
  <c r="AS59" i="2"/>
  <c r="M59" i="2" s="1"/>
  <c r="AT59" i="2"/>
  <c r="AU59" i="2"/>
  <c r="AW59" i="2"/>
  <c r="AX59" i="2"/>
  <c r="AY59" i="2"/>
  <c r="AZ59" i="2"/>
  <c r="BA59" i="2"/>
  <c r="BB59" i="2"/>
  <c r="BC59" i="2"/>
  <c r="BD59" i="2"/>
  <c r="BE59" i="2"/>
  <c r="BV59" i="2"/>
  <c r="W59" i="2" s="1"/>
  <c r="BW59" i="2"/>
  <c r="BX59" i="2"/>
  <c r="BX9" i="2"/>
  <c r="BW9" i="2"/>
  <c r="BV9" i="2"/>
  <c r="W9" i="2" s="1"/>
  <c r="BE9" i="2"/>
  <c r="BD9" i="2"/>
  <c r="BC9" i="2"/>
  <c r="BB9" i="2"/>
  <c r="BA9" i="2"/>
  <c r="AZ9" i="2"/>
  <c r="AY9" i="2"/>
  <c r="AX9" i="2"/>
  <c r="AW9" i="2"/>
  <c r="AU9" i="2"/>
  <c r="AT9" i="2"/>
  <c r="AQ9" i="2"/>
  <c r="AP9" i="2"/>
  <c r="AN9" i="2"/>
  <c r="AM9" i="2"/>
  <c r="AL9" i="2"/>
  <c r="R9" i="2" s="1"/>
  <c r="AS9" i="2"/>
  <c r="M9" i="2" s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2" i="12"/>
  <c r="AO37" i="2" l="1"/>
  <c r="O37" i="2" s="1"/>
  <c r="N37" i="2" s="1"/>
  <c r="AO46" i="2"/>
  <c r="O46" i="2" s="1"/>
  <c r="N46" i="2" s="1"/>
  <c r="AO21" i="2"/>
  <c r="O21" i="2" s="1"/>
  <c r="N21" i="2" s="1"/>
  <c r="AO23" i="2"/>
  <c r="O23" i="2" s="1"/>
  <c r="N23" i="2" s="1"/>
  <c r="AO24" i="2"/>
  <c r="O24" i="2" s="1"/>
  <c r="N24" i="2" s="1"/>
  <c r="AO14" i="2"/>
  <c r="O14" i="2" s="1"/>
  <c r="N14" i="2" s="1"/>
  <c r="AO13" i="2"/>
  <c r="O13" i="2" s="1"/>
  <c r="N13" i="2" s="1"/>
  <c r="AV28" i="2"/>
  <c r="P28" i="2" s="1"/>
  <c r="AR15" i="2"/>
  <c r="BY15" i="2" s="1"/>
  <c r="AR19" i="2"/>
  <c r="BY19" i="2" s="1"/>
  <c r="AO11" i="2"/>
  <c r="O11" i="2" s="1"/>
  <c r="N11" i="2" s="1"/>
  <c r="AR37" i="2"/>
  <c r="BY37" i="2" s="1"/>
  <c r="AR22" i="2"/>
  <c r="BY22" i="2" s="1"/>
  <c r="AR46" i="2"/>
  <c r="BY46" i="2" s="1"/>
  <c r="AR21" i="2"/>
  <c r="BY21" i="2" s="1"/>
  <c r="AR23" i="2"/>
  <c r="BY23" i="2" s="1"/>
  <c r="AR24" i="2"/>
  <c r="BY24" i="2" s="1"/>
  <c r="AR3" i="2"/>
  <c r="BY3" i="2" s="1"/>
  <c r="AR5" i="2"/>
  <c r="BY5" i="2" s="1"/>
  <c r="AR14" i="2"/>
  <c r="BY14" i="2" s="1"/>
  <c r="AO28" i="2"/>
  <c r="O28" i="2" s="1"/>
  <c r="N28" i="2" s="1"/>
  <c r="AO8" i="2"/>
  <c r="O8" i="2" s="1"/>
  <c r="N8" i="2" s="1"/>
  <c r="AR42" i="2"/>
  <c r="BY42" i="2" s="1"/>
  <c r="AR47" i="2"/>
  <c r="BY47" i="2" s="1"/>
  <c r="AR41" i="2"/>
  <c r="BY41" i="2" s="1"/>
  <c r="AR48" i="2"/>
  <c r="BY48" i="2" s="1"/>
  <c r="AR31" i="2"/>
  <c r="BY31" i="2" s="1"/>
  <c r="AR51" i="2"/>
  <c r="BY51" i="2" s="1"/>
  <c r="AO60" i="2"/>
  <c r="O60" i="2" s="1"/>
  <c r="N60" i="2" s="1"/>
  <c r="AO25" i="2"/>
  <c r="AO16" i="2"/>
  <c r="O16" i="2" s="1"/>
  <c r="N16" i="2" s="1"/>
  <c r="AR40" i="2"/>
  <c r="BY40" i="2" s="1"/>
  <c r="AR61" i="2"/>
  <c r="BY61" i="2" s="1"/>
  <c r="AR54" i="2"/>
  <c r="BY54" i="2" s="1"/>
  <c r="AR27" i="2"/>
  <c r="BY27" i="2" s="1"/>
  <c r="AR44" i="2"/>
  <c r="BY44" i="2" s="1"/>
  <c r="AR56" i="2"/>
  <c r="BY56" i="2" s="1"/>
  <c r="AR6" i="2"/>
  <c r="BY6" i="2" s="1"/>
  <c r="AO19" i="2"/>
  <c r="O19" i="2" s="1"/>
  <c r="N19" i="2" s="1"/>
  <c r="AO35" i="2"/>
  <c r="O35" i="2" s="1"/>
  <c r="N35" i="2" s="1"/>
  <c r="AO36" i="2"/>
  <c r="O36" i="2" s="1"/>
  <c r="N36" i="2" s="1"/>
  <c r="AO57" i="2"/>
  <c r="O57" i="2" s="1"/>
  <c r="N57" i="2" s="1"/>
  <c r="AV33" i="2"/>
  <c r="P33" i="2" s="1"/>
  <c r="AO33" i="2"/>
  <c r="O33" i="2" s="1"/>
  <c r="N33" i="2" s="1"/>
  <c r="AV18" i="2"/>
  <c r="P18" i="2" s="1"/>
  <c r="AO18" i="2"/>
  <c r="O18" i="2" s="1"/>
  <c r="N18" i="2" s="1"/>
  <c r="AV49" i="2"/>
  <c r="AO49" i="2"/>
  <c r="O49" i="2" s="1"/>
  <c r="N49" i="2" s="1"/>
  <c r="AV7" i="2"/>
  <c r="AO7" i="2"/>
  <c r="O7" i="2" s="1"/>
  <c r="N7" i="2" s="1"/>
  <c r="AV50" i="2"/>
  <c r="AO50" i="2"/>
  <c r="O50" i="2" s="1"/>
  <c r="N50" i="2" s="1"/>
  <c r="AV17" i="2"/>
  <c r="P17" i="2" s="1"/>
  <c r="AO17" i="2"/>
  <c r="O17" i="2" s="1"/>
  <c r="N17" i="2" s="1"/>
  <c r="AO43" i="2"/>
  <c r="O43" i="2" s="1"/>
  <c r="N43" i="2" s="1"/>
  <c r="AR45" i="2"/>
  <c r="BY45" i="2" s="1"/>
  <c r="AR4" i="2"/>
  <c r="BY4" i="2" s="1"/>
  <c r="AO42" i="2"/>
  <c r="O42" i="2" s="1"/>
  <c r="N42" i="2" s="1"/>
  <c r="AO47" i="2"/>
  <c r="O47" i="2" s="1"/>
  <c r="N47" i="2" s="1"/>
  <c r="AO41" i="2"/>
  <c r="O41" i="2" s="1"/>
  <c r="N41" i="2" s="1"/>
  <c r="AO48" i="2"/>
  <c r="O48" i="2" s="1"/>
  <c r="N48" i="2" s="1"/>
  <c r="AO31" i="2"/>
  <c r="O31" i="2" s="1"/>
  <c r="N31" i="2" s="1"/>
  <c r="AO51" i="2"/>
  <c r="O51" i="2" s="1"/>
  <c r="N51" i="2" s="1"/>
  <c r="AV12" i="2"/>
  <c r="AO12" i="2"/>
  <c r="O12" i="2" s="1"/>
  <c r="N12" i="2" s="1"/>
  <c r="AV4" i="2"/>
  <c r="AO4" i="2"/>
  <c r="O4" i="2" s="1"/>
  <c r="N4" i="2" s="1"/>
  <c r="AV26" i="2"/>
  <c r="P26" i="2" s="1"/>
  <c r="AO26" i="2"/>
  <c r="O26" i="2" s="1"/>
  <c r="N26" i="2" s="1"/>
  <c r="AO40" i="2"/>
  <c r="O40" i="2" s="1"/>
  <c r="N40" i="2" s="1"/>
  <c r="AO54" i="2"/>
  <c r="O54" i="2" s="1"/>
  <c r="N54" i="2" s="1"/>
  <c r="AV27" i="2"/>
  <c r="P27" i="2" s="1"/>
  <c r="AV44" i="2"/>
  <c r="P44" i="2" s="1"/>
  <c r="AV56" i="2"/>
  <c r="AR11" i="2"/>
  <c r="BY11" i="2" s="1"/>
  <c r="AO30" i="2"/>
  <c r="O30" i="2" s="1"/>
  <c r="N30" i="2" s="1"/>
  <c r="AO15" i="2"/>
  <c r="O15" i="2" s="1"/>
  <c r="N15" i="2" s="1"/>
  <c r="AR62" i="2"/>
  <c r="BY62" i="2" s="1"/>
  <c r="AR52" i="2"/>
  <c r="BY52" i="2" s="1"/>
  <c r="AR43" i="2"/>
  <c r="BY43" i="2" s="1"/>
  <c r="AR20" i="2"/>
  <c r="BY20" i="2" s="1"/>
  <c r="AR53" i="2"/>
  <c r="BY53" i="2" s="1"/>
  <c r="AR10" i="2"/>
  <c r="BY10" i="2" s="1"/>
  <c r="AR13" i="2"/>
  <c r="BY13" i="2" s="1"/>
  <c r="AR28" i="2"/>
  <c r="BY28" i="2" s="1"/>
  <c r="AV59" i="2"/>
  <c r="AO59" i="2"/>
  <c r="O59" i="2" s="1"/>
  <c r="N59" i="2" s="1"/>
  <c r="AV60" i="2"/>
  <c r="AV32" i="2"/>
  <c r="P32" i="2" s="1"/>
  <c r="AO32" i="2"/>
  <c r="O32" i="2" s="1"/>
  <c r="N32" i="2" s="1"/>
  <c r="AV25" i="2"/>
  <c r="P25" i="2" s="1"/>
  <c r="AV16" i="2"/>
  <c r="P16" i="2" s="1"/>
  <c r="AV58" i="2"/>
  <c r="AO58" i="2"/>
  <c r="O58" i="2" s="1"/>
  <c r="N58" i="2" s="1"/>
  <c r="AV55" i="2"/>
  <c r="AO55" i="2"/>
  <c r="O55" i="2" s="1"/>
  <c r="N55" i="2" s="1"/>
  <c r="AV45" i="2"/>
  <c r="P45" i="2" s="1"/>
  <c r="AO45" i="2"/>
  <c r="O45" i="2" s="1"/>
  <c r="N45" i="2" s="1"/>
  <c r="AV42" i="2"/>
  <c r="P42" i="2" s="1"/>
  <c r="AV47" i="2"/>
  <c r="P47" i="2" s="1"/>
  <c r="AV41" i="2"/>
  <c r="P41" i="2" s="1"/>
  <c r="AV48" i="2"/>
  <c r="AV31" i="2"/>
  <c r="P31" i="2" s="1"/>
  <c r="AV51" i="2"/>
  <c r="AV43" i="2"/>
  <c r="P43" i="2" s="1"/>
  <c r="AR38" i="2"/>
  <c r="BY38" i="2" s="1"/>
  <c r="AR34" i="2"/>
  <c r="BY34" i="2" s="1"/>
  <c r="AR35" i="2"/>
  <c r="BY35" i="2" s="1"/>
  <c r="AR36" i="2"/>
  <c r="BY36" i="2" s="1"/>
  <c r="AR57" i="2"/>
  <c r="BY57" i="2" s="1"/>
  <c r="AO62" i="2"/>
  <c r="O62" i="2" s="1"/>
  <c r="N62" i="2" s="1"/>
  <c r="AO52" i="2"/>
  <c r="O52" i="2" s="1"/>
  <c r="N52" i="2" s="1"/>
  <c r="AO38" i="2"/>
  <c r="O38" i="2" s="1"/>
  <c r="N38" i="2" s="1"/>
  <c r="AO34" i="2"/>
  <c r="O34" i="2" s="1"/>
  <c r="N34" i="2" s="1"/>
  <c r="AR33" i="2"/>
  <c r="BY33" i="2" s="1"/>
  <c r="AR18" i="2"/>
  <c r="BY18" i="2" s="1"/>
  <c r="AR49" i="2"/>
  <c r="BY49" i="2" s="1"/>
  <c r="AR7" i="2"/>
  <c r="BY7" i="2" s="1"/>
  <c r="AR50" i="2"/>
  <c r="BY50" i="2" s="1"/>
  <c r="AR17" i="2"/>
  <c r="BY17" i="2" s="1"/>
  <c r="AV39" i="2"/>
  <c r="P39" i="2" s="1"/>
  <c r="AO39" i="2"/>
  <c r="O39" i="2" s="1"/>
  <c r="N39" i="2" s="1"/>
  <c r="AV62" i="2"/>
  <c r="AV52" i="2"/>
  <c r="AV38" i="2"/>
  <c r="P38" i="2" s="1"/>
  <c r="AV34" i="2"/>
  <c r="P34" i="2" s="1"/>
  <c r="AV35" i="2"/>
  <c r="P35" i="2" s="1"/>
  <c r="AV36" i="2"/>
  <c r="P36" i="2" s="1"/>
  <c r="AV57" i="2"/>
  <c r="AR59" i="2"/>
  <c r="BY59" i="2" s="1"/>
  <c r="AR60" i="2"/>
  <c r="BY60" i="2" s="1"/>
  <c r="AR32" i="2"/>
  <c r="BY32" i="2" s="1"/>
  <c r="AR25" i="2"/>
  <c r="BY25" i="2" s="1"/>
  <c r="AR16" i="2"/>
  <c r="BY16" i="2" s="1"/>
  <c r="AR58" i="2"/>
  <c r="BY58" i="2" s="1"/>
  <c r="AR55" i="2"/>
  <c r="BY55" i="2" s="1"/>
  <c r="AV40" i="2"/>
  <c r="P40" i="2" s="1"/>
  <c r="AV61" i="2"/>
  <c r="AO61" i="2"/>
  <c r="O61" i="2" s="1"/>
  <c r="N61" i="2" s="1"/>
  <c r="AV54" i="2"/>
  <c r="AO27" i="2"/>
  <c r="O27" i="2" s="1"/>
  <c r="N27" i="2" s="1"/>
  <c r="AO44" i="2"/>
  <c r="O44" i="2" s="1"/>
  <c r="N44" i="2" s="1"/>
  <c r="AO56" i="2"/>
  <c r="O56" i="2" s="1"/>
  <c r="N56" i="2" s="1"/>
  <c r="AV6" i="2"/>
  <c r="AO6" i="2"/>
  <c r="O6" i="2" s="1"/>
  <c r="N6" i="2" s="1"/>
  <c r="AR30" i="2"/>
  <c r="BY30" i="2" s="1"/>
  <c r="AV8" i="2"/>
  <c r="AV11" i="2"/>
  <c r="AV20" i="2"/>
  <c r="P20" i="2" s="1"/>
  <c r="AO20" i="2"/>
  <c r="O20" i="2" s="1"/>
  <c r="N20" i="2" s="1"/>
  <c r="AV53" i="2"/>
  <c r="AO53" i="2"/>
  <c r="O53" i="2" s="1"/>
  <c r="N53" i="2" s="1"/>
  <c r="AV10" i="2"/>
  <c r="AO10" i="2"/>
  <c r="O10" i="2" s="1"/>
  <c r="N10" i="2" s="1"/>
  <c r="AV37" i="2"/>
  <c r="P37" i="2" s="1"/>
  <c r="AO22" i="2"/>
  <c r="O22" i="2" s="1"/>
  <c r="N22" i="2" s="1"/>
  <c r="AV24" i="2"/>
  <c r="P24" i="2" s="1"/>
  <c r="AV30" i="2"/>
  <c r="P30" i="2" s="1"/>
  <c r="AV22" i="2"/>
  <c r="P22" i="2" s="1"/>
  <c r="AV46" i="2"/>
  <c r="P46" i="2" s="1"/>
  <c r="AV21" i="2"/>
  <c r="P21" i="2" s="1"/>
  <c r="AV23" i="2"/>
  <c r="P23" i="2" s="1"/>
  <c r="AV3" i="2"/>
  <c r="AO3" i="2"/>
  <c r="O3" i="2" s="1"/>
  <c r="N3" i="2" s="1"/>
  <c r="AV5" i="2"/>
  <c r="AO5" i="2"/>
  <c r="O5" i="2" s="1"/>
  <c r="N5" i="2" s="1"/>
  <c r="AV14" i="2"/>
  <c r="P14" i="2" s="1"/>
  <c r="AV15" i="2"/>
  <c r="P15" i="2" s="1"/>
  <c r="AV19" i="2"/>
  <c r="P19" i="2" s="1"/>
  <c r="AR12" i="2"/>
  <c r="BY12" i="2" s="1"/>
  <c r="AR39" i="2"/>
  <c r="BY39" i="2" s="1"/>
  <c r="AR26" i="2"/>
  <c r="BY26" i="2" s="1"/>
  <c r="AR8" i="2"/>
  <c r="BY8" i="2" s="1"/>
  <c r="AV13" i="2"/>
  <c r="P13" i="2" s="1"/>
  <c r="AO29" i="2"/>
  <c r="O29" i="2" s="1"/>
  <c r="N29" i="2" s="1"/>
  <c r="AR29" i="2"/>
  <c r="BY29" i="2" s="1"/>
  <c r="AV29" i="2"/>
  <c r="P29" i="2" s="1"/>
  <c r="K135" i="11"/>
  <c r="K139" i="11"/>
  <c r="K138" i="11"/>
  <c r="K140" i="11"/>
  <c r="K141" i="11"/>
  <c r="K167" i="11"/>
  <c r="K142" i="11"/>
  <c r="K143" i="11"/>
  <c r="K144" i="11"/>
  <c r="K145" i="11"/>
  <c r="K146" i="11"/>
  <c r="K147" i="11"/>
  <c r="K148" i="11"/>
  <c r="K149" i="11"/>
  <c r="K171" i="11"/>
  <c r="K151" i="11"/>
  <c r="K136" i="11"/>
  <c r="K168" i="11"/>
  <c r="K152" i="11"/>
  <c r="K132" i="11"/>
  <c r="K150" i="11"/>
  <c r="K177" i="11"/>
  <c r="K169" i="11"/>
  <c r="K153" i="11"/>
  <c r="K154" i="11"/>
  <c r="K155" i="11"/>
  <c r="K156" i="11"/>
  <c r="K170" i="11"/>
  <c r="K157" i="11"/>
  <c r="K173" i="11"/>
  <c r="K172" i="11"/>
  <c r="K133" i="11"/>
  <c r="K174" i="11"/>
  <c r="K175" i="11"/>
  <c r="K176" i="11"/>
  <c r="K134" i="11"/>
  <c r="K158" i="11"/>
  <c r="K159" i="11"/>
  <c r="K160" i="11"/>
  <c r="K161" i="11"/>
  <c r="K162" i="11"/>
  <c r="K163" i="11"/>
  <c r="K164" i="11"/>
  <c r="K165" i="11"/>
  <c r="K166" i="11"/>
  <c r="K178" i="11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 s="1"/>
  <c r="K58" i="11"/>
  <c r="L58" i="11" s="1"/>
  <c r="K59" i="11"/>
  <c r="L59" i="11" s="1"/>
  <c r="K60" i="11"/>
  <c r="L60" i="11" s="1"/>
  <c r="K61" i="11"/>
  <c r="L61" i="11" s="1"/>
  <c r="K62" i="11"/>
  <c r="L62" i="11" s="1"/>
  <c r="K63" i="11"/>
  <c r="L63" i="11" s="1"/>
  <c r="K64" i="11"/>
  <c r="L64" i="11" s="1"/>
  <c r="K65" i="11"/>
  <c r="L65" i="11" s="1"/>
  <c r="K66" i="11"/>
  <c r="L66" i="11" s="1"/>
  <c r="K67" i="11"/>
  <c r="L67" i="11" s="1"/>
  <c r="K68" i="11"/>
  <c r="L68" i="11" s="1"/>
  <c r="K69" i="11"/>
  <c r="L69" i="11" s="1"/>
  <c r="K70" i="11"/>
  <c r="L70" i="11" s="1"/>
  <c r="K71" i="11"/>
  <c r="L71" i="11" s="1"/>
  <c r="K72" i="11"/>
  <c r="L72" i="11" s="1"/>
  <c r="K73" i="11"/>
  <c r="L73" i="11" s="1"/>
  <c r="K74" i="11"/>
  <c r="L74" i="11" s="1"/>
  <c r="K75" i="11"/>
  <c r="L75" i="11" s="1"/>
  <c r="K76" i="11"/>
  <c r="L76" i="11" s="1"/>
  <c r="K77" i="11"/>
  <c r="L77" i="11" s="1"/>
  <c r="K78" i="11"/>
  <c r="L78" i="11" s="1"/>
  <c r="K79" i="11"/>
  <c r="L79" i="11" s="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 s="1"/>
  <c r="K88" i="11"/>
  <c r="L88" i="11" s="1"/>
  <c r="K89" i="11"/>
  <c r="L89" i="11" s="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 s="1"/>
  <c r="K100" i="11"/>
  <c r="L100" i="11" s="1"/>
  <c r="K101" i="11"/>
  <c r="L101" i="11" s="1"/>
  <c r="K102" i="11"/>
  <c r="L102" i="11" s="1"/>
  <c r="K103" i="11"/>
  <c r="L103" i="11" s="1"/>
  <c r="K104" i="11"/>
  <c r="L104" i="11" s="1"/>
  <c r="K105" i="11"/>
  <c r="L105" i="11" s="1"/>
  <c r="K106" i="11"/>
  <c r="L106" i="11" s="1"/>
  <c r="K107" i="11"/>
  <c r="L107" i="11" s="1"/>
  <c r="K108" i="11"/>
  <c r="L108" i="11" s="1"/>
  <c r="K109" i="11"/>
  <c r="L109" i="11" s="1"/>
  <c r="K110" i="11"/>
  <c r="L110" i="11" s="1"/>
  <c r="K111" i="11"/>
  <c r="L111" i="11" s="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7" i="11"/>
  <c r="I135" i="11"/>
  <c r="I139" i="11"/>
  <c r="I138" i="11"/>
  <c r="I140" i="11"/>
  <c r="I141" i="11"/>
  <c r="I167" i="11"/>
  <c r="I142" i="11"/>
  <c r="I143" i="11"/>
  <c r="I144" i="11"/>
  <c r="I145" i="11"/>
  <c r="I146" i="11"/>
  <c r="I147" i="11"/>
  <c r="I148" i="11"/>
  <c r="I149" i="11"/>
  <c r="I171" i="11"/>
  <c r="I151" i="11"/>
  <c r="I136" i="11"/>
  <c r="I168" i="11"/>
  <c r="I152" i="11"/>
  <c r="I132" i="11"/>
  <c r="I150" i="11"/>
  <c r="I177" i="11"/>
  <c r="I169" i="11"/>
  <c r="I153" i="11"/>
  <c r="I154" i="11"/>
  <c r="I155" i="11"/>
  <c r="I156" i="11"/>
  <c r="I170" i="11"/>
  <c r="I157" i="11"/>
  <c r="I173" i="11"/>
  <c r="I172" i="11"/>
  <c r="I133" i="11"/>
  <c r="I174" i="11"/>
  <c r="I175" i="11"/>
  <c r="I176" i="11"/>
  <c r="I134" i="11"/>
  <c r="I158" i="11"/>
  <c r="I159" i="11"/>
  <c r="I160" i="11"/>
  <c r="I161" i="11"/>
  <c r="I162" i="11"/>
  <c r="I163" i="11"/>
  <c r="I164" i="11"/>
  <c r="I165" i="11"/>
  <c r="I166" i="11"/>
  <c r="I178" i="11"/>
  <c r="I2" i="11"/>
  <c r="J2" i="11" s="1"/>
  <c r="I3" i="11"/>
  <c r="J3" i="11" s="1"/>
  <c r="I4" i="11"/>
  <c r="J4" i="11" s="1"/>
  <c r="I5" i="11"/>
  <c r="J5" i="11" s="1"/>
  <c r="I6" i="11"/>
  <c r="J6" i="11" s="1"/>
  <c r="I7" i="11"/>
  <c r="J7" i="11" s="1"/>
  <c r="I8" i="11"/>
  <c r="J8" i="11" s="1"/>
  <c r="I9" i="11"/>
  <c r="J9" i="11" s="1"/>
  <c r="I10" i="11"/>
  <c r="J10" i="11" s="1"/>
  <c r="I11" i="11"/>
  <c r="J11" i="11" s="1"/>
  <c r="I12" i="11"/>
  <c r="J12" i="11" s="1"/>
  <c r="I13" i="11"/>
  <c r="J13" i="11" s="1"/>
  <c r="I14" i="11"/>
  <c r="J14" i="11" s="1"/>
  <c r="I15" i="11"/>
  <c r="J15" i="11" s="1"/>
  <c r="I16" i="11"/>
  <c r="J16" i="11" s="1"/>
  <c r="I17" i="11"/>
  <c r="J17" i="11" s="1"/>
  <c r="I18" i="11"/>
  <c r="J18" i="11" s="1"/>
  <c r="I19" i="11"/>
  <c r="J19" i="11" s="1"/>
  <c r="I20" i="11"/>
  <c r="J20" i="11" s="1"/>
  <c r="I21" i="11"/>
  <c r="J21" i="11" s="1"/>
  <c r="I22" i="11"/>
  <c r="J22" i="11" s="1"/>
  <c r="I23" i="11"/>
  <c r="J23" i="11" s="1"/>
  <c r="I24" i="11"/>
  <c r="J24" i="11" s="1"/>
  <c r="I25" i="11"/>
  <c r="J25" i="11" s="1"/>
  <c r="I26" i="11"/>
  <c r="J26" i="11" s="1"/>
  <c r="I27" i="11"/>
  <c r="J27" i="11" s="1"/>
  <c r="I28" i="11"/>
  <c r="J28" i="11" s="1"/>
  <c r="I29" i="11"/>
  <c r="J29" i="11" s="1"/>
  <c r="I30" i="11"/>
  <c r="J30" i="11" s="1"/>
  <c r="I31" i="11"/>
  <c r="J31" i="11" s="1"/>
  <c r="I32" i="11"/>
  <c r="J32" i="11" s="1"/>
  <c r="I33" i="11"/>
  <c r="J33" i="11" s="1"/>
  <c r="I34" i="11"/>
  <c r="J34" i="11" s="1"/>
  <c r="I35" i="11"/>
  <c r="J35" i="11" s="1"/>
  <c r="I36" i="11"/>
  <c r="J36" i="11" s="1"/>
  <c r="I37" i="11"/>
  <c r="J37" i="11" s="1"/>
  <c r="I38" i="11"/>
  <c r="J38" i="11" s="1"/>
  <c r="I39" i="11"/>
  <c r="J39" i="11" s="1"/>
  <c r="I40" i="11"/>
  <c r="J40" i="11" s="1"/>
  <c r="I41" i="11"/>
  <c r="J41" i="11" s="1"/>
  <c r="I42" i="11"/>
  <c r="J42" i="11" s="1"/>
  <c r="I43" i="11"/>
  <c r="J43" i="11" s="1"/>
  <c r="I44" i="11"/>
  <c r="J44" i="11" s="1"/>
  <c r="I45" i="11"/>
  <c r="J45" i="11" s="1"/>
  <c r="I46" i="11"/>
  <c r="J46" i="11" s="1"/>
  <c r="I47" i="11"/>
  <c r="J47" i="11" s="1"/>
  <c r="I48" i="11"/>
  <c r="J48" i="11" s="1"/>
  <c r="I49" i="11"/>
  <c r="J49" i="11" s="1"/>
  <c r="I50" i="11"/>
  <c r="J50" i="11" s="1"/>
  <c r="I51" i="11"/>
  <c r="J51" i="11" s="1"/>
  <c r="I52" i="11"/>
  <c r="J52" i="11" s="1"/>
  <c r="I53" i="11"/>
  <c r="J53" i="11" s="1"/>
  <c r="I54" i="11"/>
  <c r="J54" i="11" s="1"/>
  <c r="I55" i="11"/>
  <c r="J55" i="11" s="1"/>
  <c r="I56" i="11"/>
  <c r="J56" i="11" s="1"/>
  <c r="I57" i="11"/>
  <c r="J57" i="11" s="1"/>
  <c r="I58" i="11"/>
  <c r="J58" i="11" s="1"/>
  <c r="I59" i="11"/>
  <c r="J59" i="11" s="1"/>
  <c r="I60" i="11"/>
  <c r="J60" i="11" s="1"/>
  <c r="I61" i="11"/>
  <c r="J61" i="11" s="1"/>
  <c r="I62" i="11"/>
  <c r="J62" i="11" s="1"/>
  <c r="I63" i="11"/>
  <c r="J63" i="11" s="1"/>
  <c r="I64" i="11"/>
  <c r="J64" i="11" s="1"/>
  <c r="I65" i="11"/>
  <c r="J65" i="11" s="1"/>
  <c r="I66" i="11"/>
  <c r="J66" i="11" s="1"/>
  <c r="I67" i="11"/>
  <c r="J67" i="11" s="1"/>
  <c r="I68" i="11"/>
  <c r="J68" i="11" s="1"/>
  <c r="I69" i="11"/>
  <c r="J69" i="11" s="1"/>
  <c r="I70" i="11"/>
  <c r="J70" i="11" s="1"/>
  <c r="I71" i="11"/>
  <c r="J71" i="11" s="1"/>
  <c r="I72" i="11"/>
  <c r="J72" i="11" s="1"/>
  <c r="I73" i="11"/>
  <c r="J73" i="11" s="1"/>
  <c r="I74" i="11"/>
  <c r="J74" i="11" s="1"/>
  <c r="I75" i="11"/>
  <c r="J75" i="11" s="1"/>
  <c r="I76" i="11"/>
  <c r="J76" i="11" s="1"/>
  <c r="I77" i="11"/>
  <c r="J77" i="11" s="1"/>
  <c r="I78" i="11"/>
  <c r="J78" i="11" s="1"/>
  <c r="I79" i="11"/>
  <c r="J79" i="11" s="1"/>
  <c r="I80" i="11"/>
  <c r="J80" i="11" s="1"/>
  <c r="I81" i="11"/>
  <c r="J81" i="11" s="1"/>
  <c r="I82" i="11"/>
  <c r="J82" i="11" s="1"/>
  <c r="I83" i="11"/>
  <c r="J83" i="11" s="1"/>
  <c r="I84" i="11"/>
  <c r="J84" i="11" s="1"/>
  <c r="I85" i="11"/>
  <c r="J85" i="11" s="1"/>
  <c r="I86" i="11"/>
  <c r="J86" i="11" s="1"/>
  <c r="I87" i="11"/>
  <c r="J87" i="11" s="1"/>
  <c r="I88" i="11"/>
  <c r="J88" i="11" s="1"/>
  <c r="I89" i="11"/>
  <c r="J89" i="11" s="1"/>
  <c r="I90" i="11"/>
  <c r="J90" i="11" s="1"/>
  <c r="I91" i="11"/>
  <c r="J91" i="11" s="1"/>
  <c r="I92" i="11"/>
  <c r="J92" i="11" s="1"/>
  <c r="I93" i="11"/>
  <c r="J93" i="11" s="1"/>
  <c r="I94" i="11"/>
  <c r="J94" i="11" s="1"/>
  <c r="I95" i="11"/>
  <c r="J95" i="11" s="1"/>
  <c r="I96" i="11"/>
  <c r="J96" i="11" s="1"/>
  <c r="I97" i="11"/>
  <c r="J97" i="11" s="1"/>
  <c r="I98" i="11"/>
  <c r="J98" i="11" s="1"/>
  <c r="I99" i="11"/>
  <c r="J99" i="11" s="1"/>
  <c r="I100" i="11"/>
  <c r="J100" i="11" s="1"/>
  <c r="I101" i="11"/>
  <c r="J101" i="11" s="1"/>
  <c r="I102" i="11"/>
  <c r="J102" i="11" s="1"/>
  <c r="I103" i="11"/>
  <c r="J103" i="11" s="1"/>
  <c r="I104" i="11"/>
  <c r="J104" i="11" s="1"/>
  <c r="I105" i="11"/>
  <c r="J105" i="11" s="1"/>
  <c r="I106" i="11"/>
  <c r="J106" i="11" s="1"/>
  <c r="I107" i="11"/>
  <c r="J107" i="11" s="1"/>
  <c r="I108" i="11"/>
  <c r="J108" i="11" s="1"/>
  <c r="I109" i="11"/>
  <c r="J109" i="11" s="1"/>
  <c r="I110" i="11"/>
  <c r="J110" i="11" s="1"/>
  <c r="I111" i="11"/>
  <c r="J111" i="11" s="1"/>
  <c r="I112" i="11"/>
  <c r="J112" i="11" s="1"/>
  <c r="I113" i="11"/>
  <c r="J113" i="11" s="1"/>
  <c r="I114" i="11"/>
  <c r="J114" i="11" s="1"/>
  <c r="I115" i="11"/>
  <c r="J115" i="11" s="1"/>
  <c r="I116" i="11"/>
  <c r="J116" i="11" s="1"/>
  <c r="I117" i="11"/>
  <c r="J117" i="11" s="1"/>
  <c r="I118" i="11"/>
  <c r="J118" i="11" s="1"/>
  <c r="I119" i="11"/>
  <c r="J119" i="11" s="1"/>
  <c r="I120" i="11"/>
  <c r="J120" i="11" s="1"/>
  <c r="I121" i="11"/>
  <c r="J121" i="11" s="1"/>
  <c r="I122" i="11"/>
  <c r="J122" i="11" s="1"/>
  <c r="I123" i="11"/>
  <c r="J123" i="11" s="1"/>
  <c r="I124" i="11"/>
  <c r="J124" i="11" s="1"/>
  <c r="I125" i="11"/>
  <c r="J125" i="11" s="1"/>
  <c r="I126" i="11"/>
  <c r="J126" i="11" s="1"/>
  <c r="I127" i="11"/>
  <c r="J127" i="11" s="1"/>
  <c r="I128" i="11"/>
  <c r="J128" i="11" s="1"/>
  <c r="I129" i="11"/>
  <c r="J129" i="11" s="1"/>
  <c r="I130" i="11"/>
  <c r="J130" i="11" s="1"/>
  <c r="I131" i="11"/>
  <c r="J131" i="11" s="1"/>
  <c r="I137" i="11"/>
  <c r="H153" i="11"/>
  <c r="H148" i="11"/>
  <c r="H134" i="11"/>
  <c r="H136" i="11"/>
  <c r="H158" i="11"/>
  <c r="H167" i="11"/>
  <c r="L167" i="11" s="1"/>
  <c r="H168" i="11"/>
  <c r="H137" i="11"/>
  <c r="H142" i="11"/>
  <c r="H138" i="11"/>
  <c r="H152" i="11"/>
  <c r="H132" i="11"/>
  <c r="H150" i="11"/>
  <c r="H159" i="11"/>
  <c r="H143" i="11"/>
  <c r="H154" i="11"/>
  <c r="H135" i="11"/>
  <c r="H173" i="11"/>
  <c r="H139" i="11"/>
  <c r="H172" i="11"/>
  <c r="H155" i="11"/>
  <c r="H160" i="11"/>
  <c r="H177" i="11"/>
  <c r="H133" i="11"/>
  <c r="H161" i="11"/>
  <c r="H140" i="11"/>
  <c r="H144" i="11"/>
  <c r="H156" i="11"/>
  <c r="H145" i="11"/>
  <c r="H162" i="11"/>
  <c r="H149" i="11"/>
  <c r="H163" i="11"/>
  <c r="H174" i="11"/>
  <c r="H146" i="11"/>
  <c r="H164" i="11"/>
  <c r="H175" i="11"/>
  <c r="H171" i="11"/>
  <c r="H169" i="11"/>
  <c r="H165" i="11"/>
  <c r="H176" i="11"/>
  <c r="H170" i="11"/>
  <c r="H166" i="11"/>
  <c r="H178" i="11"/>
  <c r="H157" i="11"/>
  <c r="H141" i="11"/>
  <c r="H147" i="11"/>
  <c r="H151" i="11"/>
  <c r="O25" i="2" l="1"/>
  <c r="N25" i="2" s="1"/>
  <c r="L139" i="11"/>
  <c r="J135" i="11"/>
  <c r="J137" i="11"/>
  <c r="J166" i="11"/>
  <c r="J158" i="11"/>
  <c r="J173" i="11"/>
  <c r="J177" i="11"/>
  <c r="J149" i="11"/>
  <c r="J167" i="11"/>
  <c r="L160" i="11"/>
  <c r="L133" i="11"/>
  <c r="L153" i="11"/>
  <c r="L151" i="11"/>
  <c r="L143" i="11"/>
  <c r="J165" i="11"/>
  <c r="J134" i="11"/>
  <c r="J157" i="11"/>
  <c r="J150" i="11"/>
  <c r="J148" i="11"/>
  <c r="J141" i="11"/>
  <c r="L178" i="11"/>
  <c r="L159" i="11"/>
  <c r="L172" i="11"/>
  <c r="L169" i="11"/>
  <c r="L171" i="11"/>
  <c r="L142" i="11"/>
  <c r="J164" i="11"/>
  <c r="J176" i="11"/>
  <c r="J170" i="11"/>
  <c r="J132" i="11"/>
  <c r="J147" i="11"/>
  <c r="J140" i="11"/>
  <c r="L166" i="11"/>
  <c r="L158" i="11"/>
  <c r="L173" i="11"/>
  <c r="L177" i="11"/>
  <c r="L149" i="11"/>
  <c r="J163" i="11"/>
  <c r="J175" i="11"/>
  <c r="J156" i="11"/>
  <c r="J152" i="11"/>
  <c r="J146" i="11"/>
  <c r="J138" i="11"/>
  <c r="L165" i="11"/>
  <c r="L134" i="11"/>
  <c r="L157" i="11"/>
  <c r="L150" i="11"/>
  <c r="L148" i="11"/>
  <c r="L141" i="11"/>
  <c r="J162" i="11"/>
  <c r="J174" i="11"/>
  <c r="J155" i="11"/>
  <c r="J168" i="11"/>
  <c r="J145" i="11"/>
  <c r="L164" i="11"/>
  <c r="L176" i="11"/>
  <c r="L170" i="11"/>
  <c r="L132" i="11"/>
  <c r="L147" i="11"/>
  <c r="L140" i="11"/>
  <c r="J161" i="11"/>
  <c r="J154" i="11"/>
  <c r="J136" i="11"/>
  <c r="J144" i="11"/>
  <c r="L163" i="11"/>
  <c r="L175" i="11"/>
  <c r="L156" i="11"/>
  <c r="L152" i="11"/>
  <c r="L146" i="11"/>
  <c r="L138" i="11"/>
  <c r="J160" i="11"/>
  <c r="J133" i="11"/>
  <c r="J153" i="11"/>
  <c r="J151" i="11"/>
  <c r="J143" i="11"/>
  <c r="L137" i="11"/>
  <c r="L162" i="11"/>
  <c r="L174" i="11"/>
  <c r="L155" i="11"/>
  <c r="L168" i="11"/>
  <c r="L145" i="11"/>
  <c r="J178" i="11"/>
  <c r="J159" i="11"/>
  <c r="J172" i="11"/>
  <c r="J169" i="11"/>
  <c r="J171" i="11"/>
  <c r="J142" i="11"/>
  <c r="L161" i="11"/>
  <c r="L154" i="11"/>
  <c r="L136" i="11"/>
  <c r="L144" i="11"/>
  <c r="L135" i="11"/>
  <c r="J139" i="11"/>
  <c r="F4" i="6"/>
  <c r="F12" i="6"/>
  <c r="F23" i="6"/>
  <c r="F9" i="6"/>
  <c r="F31" i="6"/>
  <c r="F3" i="6"/>
  <c r="F16" i="6"/>
  <c r="F5" i="6"/>
  <c r="F14" i="6"/>
  <c r="F30" i="6"/>
  <c r="F32" i="6"/>
  <c r="F18" i="6"/>
  <c r="F33" i="6"/>
  <c r="F7" i="6"/>
  <c r="F34" i="6"/>
  <c r="F11" i="6"/>
  <c r="F17" i="6"/>
  <c r="F13" i="6"/>
  <c r="F19" i="6"/>
  <c r="F10" i="6"/>
  <c r="F15" i="6"/>
  <c r="F21" i="6"/>
  <c r="F8" i="6"/>
  <c r="F20" i="6"/>
  <c r="F22" i="6"/>
  <c r="F2" i="6"/>
  <c r="L19" i="2" l="1"/>
  <c r="L8" i="2"/>
  <c r="L15" i="2"/>
  <c r="L28" i="2"/>
  <c r="L30" i="2"/>
  <c r="L13" i="2"/>
  <c r="L11" i="2"/>
  <c r="L14" i="2"/>
  <c r="L29" i="2"/>
  <c r="L5" i="2"/>
  <c r="L6" i="2"/>
  <c r="L3" i="2"/>
  <c r="L56" i="2"/>
  <c r="L24" i="2"/>
  <c r="L44" i="2"/>
  <c r="L23" i="2"/>
  <c r="L27" i="2"/>
  <c r="L21" i="2"/>
  <c r="L54" i="2"/>
  <c r="L46" i="2"/>
  <c r="L61" i="2"/>
  <c r="L22" i="2"/>
  <c r="L40" i="2"/>
  <c r="L37" i="2"/>
  <c r="L26" i="2"/>
  <c r="L10" i="2"/>
  <c r="L4" i="2"/>
  <c r="L53" i="2"/>
  <c r="L45" i="2"/>
  <c r="L20" i="2"/>
  <c r="L39" i="2"/>
  <c r="L43" i="2"/>
  <c r="L12" i="2"/>
  <c r="L17" i="2"/>
  <c r="L51" i="2"/>
  <c r="L50" i="2"/>
  <c r="L31" i="2"/>
  <c r="L7" i="2"/>
  <c r="L48" i="2"/>
  <c r="L49" i="2"/>
  <c r="L41" i="2"/>
  <c r="L18" i="2"/>
  <c r="L47" i="2"/>
  <c r="L33" i="2"/>
  <c r="L42" i="2"/>
  <c r="L57" i="2"/>
  <c r="L55" i="2"/>
  <c r="L36" i="2"/>
  <c r="L58" i="2"/>
  <c r="L35" i="2"/>
  <c r="L16" i="2"/>
  <c r="L34" i="2"/>
  <c r="L25" i="2"/>
  <c r="L38" i="2"/>
  <c r="L32" i="2"/>
  <c r="L52" i="2"/>
  <c r="L60" i="2"/>
  <c r="L62" i="2"/>
  <c r="L59" i="2"/>
  <c r="L9" i="2"/>
  <c r="K19" i="2"/>
  <c r="K8" i="2"/>
  <c r="K15" i="2"/>
  <c r="K28" i="2"/>
  <c r="K30" i="2"/>
  <c r="K13" i="2"/>
  <c r="K11" i="2"/>
  <c r="K14" i="2"/>
  <c r="K29" i="2"/>
  <c r="K5" i="2"/>
  <c r="K6" i="2"/>
  <c r="K3" i="2"/>
  <c r="K56" i="2"/>
  <c r="K24" i="2"/>
  <c r="K44" i="2"/>
  <c r="K23" i="2"/>
  <c r="K27" i="2"/>
  <c r="K21" i="2"/>
  <c r="K54" i="2"/>
  <c r="K46" i="2"/>
  <c r="K61" i="2"/>
  <c r="K22" i="2"/>
  <c r="K40" i="2"/>
  <c r="K37" i="2"/>
  <c r="K26" i="2"/>
  <c r="K10" i="2"/>
  <c r="K4" i="2"/>
  <c r="K53" i="2"/>
  <c r="K45" i="2"/>
  <c r="K20" i="2"/>
  <c r="K39" i="2"/>
  <c r="K43" i="2"/>
  <c r="K12" i="2"/>
  <c r="K17" i="2"/>
  <c r="K51" i="2"/>
  <c r="K50" i="2"/>
  <c r="K31" i="2"/>
  <c r="K7" i="2"/>
  <c r="K48" i="2"/>
  <c r="K49" i="2"/>
  <c r="K41" i="2"/>
  <c r="K18" i="2"/>
  <c r="K47" i="2"/>
  <c r="K33" i="2"/>
  <c r="K42" i="2"/>
  <c r="K57" i="2"/>
  <c r="K55" i="2"/>
  <c r="K36" i="2"/>
  <c r="K58" i="2"/>
  <c r="K35" i="2"/>
  <c r="K16" i="2"/>
  <c r="K34" i="2"/>
  <c r="K25" i="2"/>
  <c r="K38" i="2"/>
  <c r="K32" i="2"/>
  <c r="K52" i="2"/>
  <c r="K60" i="2"/>
  <c r="K62" i="2"/>
  <c r="K59" i="2"/>
  <c r="K9" i="2"/>
  <c r="AK9" i="2"/>
  <c r="AJ9" i="2"/>
  <c r="AI9" i="2"/>
  <c r="AH9" i="2"/>
  <c r="AG9" i="2"/>
  <c r="AF9" i="2"/>
  <c r="AE9" i="2"/>
  <c r="AD9" i="2"/>
  <c r="C19" i="2"/>
  <c r="C8" i="2"/>
  <c r="C15" i="2"/>
  <c r="C28" i="2"/>
  <c r="C30" i="2"/>
  <c r="C13" i="2"/>
  <c r="C11" i="2"/>
  <c r="C14" i="2"/>
  <c r="C29" i="2"/>
  <c r="C5" i="2"/>
  <c r="C6" i="2"/>
  <c r="C3" i="2"/>
  <c r="C56" i="2"/>
  <c r="C24" i="2"/>
  <c r="C44" i="2"/>
  <c r="C23" i="2"/>
  <c r="C27" i="2"/>
  <c r="C21" i="2"/>
  <c r="C54" i="2"/>
  <c r="C46" i="2"/>
  <c r="C61" i="2"/>
  <c r="C22" i="2"/>
  <c r="C40" i="2"/>
  <c r="C37" i="2"/>
  <c r="C26" i="2"/>
  <c r="C10" i="2"/>
  <c r="C4" i="2"/>
  <c r="C53" i="2"/>
  <c r="C45" i="2"/>
  <c r="C20" i="2"/>
  <c r="C39" i="2"/>
  <c r="C43" i="2"/>
  <c r="C12" i="2"/>
  <c r="C17" i="2"/>
  <c r="C51" i="2"/>
  <c r="C50" i="2"/>
  <c r="C31" i="2"/>
  <c r="C7" i="2"/>
  <c r="C48" i="2"/>
  <c r="C49" i="2"/>
  <c r="C41" i="2"/>
  <c r="C18" i="2"/>
  <c r="C47" i="2"/>
  <c r="C33" i="2"/>
  <c r="C42" i="2"/>
  <c r="C57" i="2"/>
  <c r="C55" i="2"/>
  <c r="C36" i="2"/>
  <c r="C58" i="2"/>
  <c r="C35" i="2"/>
  <c r="C16" i="2"/>
  <c r="C34" i="2"/>
  <c r="C25" i="2"/>
  <c r="C38" i="2"/>
  <c r="C32" i="2"/>
  <c r="C52" i="2"/>
  <c r="C60" i="2"/>
  <c r="C62" i="2"/>
  <c r="C59" i="2"/>
  <c r="C9" i="2"/>
  <c r="B19" i="2"/>
  <c r="B8" i="2"/>
  <c r="B15" i="2"/>
  <c r="B28" i="2"/>
  <c r="B30" i="2"/>
  <c r="B13" i="2"/>
  <c r="B11" i="2"/>
  <c r="B14" i="2"/>
  <c r="B29" i="2"/>
  <c r="B5" i="2"/>
  <c r="B6" i="2"/>
  <c r="B3" i="2"/>
  <c r="B56" i="2"/>
  <c r="B24" i="2"/>
  <c r="B44" i="2"/>
  <c r="B23" i="2"/>
  <c r="B27" i="2"/>
  <c r="B21" i="2"/>
  <c r="B54" i="2"/>
  <c r="B46" i="2"/>
  <c r="B61" i="2"/>
  <c r="B22" i="2"/>
  <c r="B40" i="2"/>
  <c r="B37" i="2"/>
  <c r="B26" i="2"/>
  <c r="B10" i="2"/>
  <c r="B4" i="2"/>
  <c r="B53" i="2"/>
  <c r="B45" i="2"/>
  <c r="B20" i="2"/>
  <c r="B39" i="2"/>
  <c r="B43" i="2"/>
  <c r="B12" i="2"/>
  <c r="B17" i="2"/>
  <c r="B51" i="2"/>
  <c r="B50" i="2"/>
  <c r="B31" i="2"/>
  <c r="B7" i="2"/>
  <c r="B48" i="2"/>
  <c r="B49" i="2"/>
  <c r="B41" i="2"/>
  <c r="B18" i="2"/>
  <c r="B47" i="2"/>
  <c r="B33" i="2"/>
  <c r="B42" i="2"/>
  <c r="B57" i="2"/>
  <c r="B55" i="2"/>
  <c r="B36" i="2"/>
  <c r="B58" i="2"/>
  <c r="B35" i="2"/>
  <c r="B16" i="2"/>
  <c r="B34" i="2"/>
  <c r="B25" i="2"/>
  <c r="B38" i="2"/>
  <c r="B32" i="2"/>
  <c r="B52" i="2"/>
  <c r="B60" i="2"/>
  <c r="B62" i="2"/>
  <c r="B59" i="2"/>
  <c r="B9" i="2"/>
  <c r="A8" i="2"/>
  <c r="F8" i="2" s="1"/>
  <c r="A15" i="2"/>
  <c r="F15" i="2" s="1"/>
  <c r="A28" i="2"/>
  <c r="F28" i="2" s="1"/>
  <c r="A30" i="2"/>
  <c r="F30" i="2" s="1"/>
  <c r="A13" i="2"/>
  <c r="F13" i="2" s="1"/>
  <c r="A11" i="2"/>
  <c r="F11" i="2" s="1"/>
  <c r="A14" i="2"/>
  <c r="F14" i="2" s="1"/>
  <c r="A29" i="2"/>
  <c r="F29" i="2" s="1"/>
  <c r="A5" i="2"/>
  <c r="F5" i="2" s="1"/>
  <c r="A6" i="2"/>
  <c r="F6" i="2" s="1"/>
  <c r="A3" i="2"/>
  <c r="F3" i="2" s="1"/>
  <c r="A56" i="2"/>
  <c r="F56" i="2" s="1"/>
  <c r="A24" i="2"/>
  <c r="F24" i="2" s="1"/>
  <c r="A44" i="2"/>
  <c r="F44" i="2" s="1"/>
  <c r="A23" i="2"/>
  <c r="F23" i="2" s="1"/>
  <c r="A27" i="2"/>
  <c r="F27" i="2" s="1"/>
  <c r="A21" i="2"/>
  <c r="F21" i="2" s="1"/>
  <c r="A54" i="2"/>
  <c r="F54" i="2" s="1"/>
  <c r="A46" i="2"/>
  <c r="F46" i="2" s="1"/>
  <c r="A61" i="2"/>
  <c r="F61" i="2" s="1"/>
  <c r="A22" i="2"/>
  <c r="F22" i="2" s="1"/>
  <c r="A40" i="2"/>
  <c r="F40" i="2" s="1"/>
  <c r="A37" i="2"/>
  <c r="F37" i="2" s="1"/>
  <c r="A26" i="2"/>
  <c r="F26" i="2" s="1"/>
  <c r="A10" i="2"/>
  <c r="F10" i="2" s="1"/>
  <c r="A4" i="2"/>
  <c r="F4" i="2" s="1"/>
  <c r="A53" i="2"/>
  <c r="F53" i="2" s="1"/>
  <c r="A45" i="2"/>
  <c r="F45" i="2" s="1"/>
  <c r="A20" i="2"/>
  <c r="F20" i="2" s="1"/>
  <c r="A39" i="2"/>
  <c r="F39" i="2" s="1"/>
  <c r="A43" i="2"/>
  <c r="F43" i="2" s="1"/>
  <c r="A12" i="2"/>
  <c r="F12" i="2" s="1"/>
  <c r="A17" i="2"/>
  <c r="F17" i="2" s="1"/>
  <c r="A51" i="2"/>
  <c r="F51" i="2" s="1"/>
  <c r="A50" i="2"/>
  <c r="F50" i="2" s="1"/>
  <c r="A31" i="2"/>
  <c r="F31" i="2" s="1"/>
  <c r="A7" i="2"/>
  <c r="F7" i="2" s="1"/>
  <c r="A48" i="2"/>
  <c r="F48" i="2" s="1"/>
  <c r="A49" i="2"/>
  <c r="F49" i="2" s="1"/>
  <c r="A41" i="2"/>
  <c r="F41" i="2" s="1"/>
  <c r="A18" i="2"/>
  <c r="F18" i="2" s="1"/>
  <c r="A47" i="2"/>
  <c r="F47" i="2" s="1"/>
  <c r="A33" i="2"/>
  <c r="F33" i="2" s="1"/>
  <c r="A42" i="2"/>
  <c r="F42" i="2" s="1"/>
  <c r="A57" i="2"/>
  <c r="F57" i="2" s="1"/>
  <c r="A55" i="2"/>
  <c r="F55" i="2" s="1"/>
  <c r="A36" i="2"/>
  <c r="F36" i="2" s="1"/>
  <c r="A58" i="2"/>
  <c r="F58" i="2" s="1"/>
  <c r="A35" i="2"/>
  <c r="F35" i="2" s="1"/>
  <c r="A16" i="2"/>
  <c r="F16" i="2" s="1"/>
  <c r="A34" i="2"/>
  <c r="F34" i="2" s="1"/>
  <c r="A25" i="2"/>
  <c r="F25" i="2" s="1"/>
  <c r="A38" i="2"/>
  <c r="F38" i="2" s="1"/>
  <c r="A32" i="2"/>
  <c r="F32" i="2" s="1"/>
  <c r="A52" i="2"/>
  <c r="F52" i="2" s="1"/>
  <c r="A60" i="2"/>
  <c r="F60" i="2" s="1"/>
  <c r="A62" i="2"/>
  <c r="F62" i="2" s="1"/>
  <c r="A59" i="2"/>
  <c r="F59" i="2" s="1"/>
  <c r="A19" i="2"/>
  <c r="F19" i="2" s="1"/>
  <c r="A9" i="2"/>
  <c r="F9" i="2" s="1"/>
  <c r="BM49" i="2" l="1"/>
  <c r="BU49" i="2"/>
  <c r="BF49" i="2"/>
  <c r="BN49" i="2"/>
  <c r="BG49" i="2"/>
  <c r="BO49" i="2"/>
  <c r="BH49" i="2"/>
  <c r="BP49" i="2"/>
  <c r="BI49" i="2"/>
  <c r="BQ49" i="2"/>
  <c r="BJ49" i="2"/>
  <c r="BR49" i="2"/>
  <c r="BK49" i="2"/>
  <c r="BS49" i="2"/>
  <c r="BL49" i="2"/>
  <c r="BT49" i="2"/>
  <c r="BK37" i="2"/>
  <c r="BS37" i="2"/>
  <c r="BL37" i="2"/>
  <c r="BT37" i="2"/>
  <c r="BM37" i="2"/>
  <c r="BU37" i="2"/>
  <c r="BF37" i="2"/>
  <c r="BN37" i="2"/>
  <c r="BG37" i="2"/>
  <c r="BO37" i="2"/>
  <c r="BH37" i="2"/>
  <c r="BP37" i="2"/>
  <c r="BI37" i="2"/>
  <c r="BQ37" i="2"/>
  <c r="BJ37" i="2"/>
  <c r="BR37" i="2"/>
  <c r="BL23" i="2"/>
  <c r="BT23" i="2"/>
  <c r="BM23" i="2"/>
  <c r="BU23" i="2"/>
  <c r="BF23" i="2"/>
  <c r="BN23" i="2"/>
  <c r="BG23" i="2"/>
  <c r="BO23" i="2"/>
  <c r="BH23" i="2"/>
  <c r="BP23" i="2"/>
  <c r="BI23" i="2"/>
  <c r="BQ23" i="2"/>
  <c r="BJ23" i="2"/>
  <c r="BR23" i="2"/>
  <c r="BK23" i="2"/>
  <c r="BS23" i="2"/>
  <c r="BH32" i="2"/>
  <c r="BP32" i="2"/>
  <c r="BJ32" i="2"/>
  <c r="BR32" i="2"/>
  <c r="BK32" i="2"/>
  <c r="BS32" i="2"/>
  <c r="BT32" i="2"/>
  <c r="BL32" i="2"/>
  <c r="BF32" i="2"/>
  <c r="BN32" i="2"/>
  <c r="BI32" i="2"/>
  <c r="BG32" i="2"/>
  <c r="BM32" i="2"/>
  <c r="BO32" i="2"/>
  <c r="BQ32" i="2"/>
  <c r="BU32" i="2"/>
  <c r="BH55" i="2"/>
  <c r="BP55" i="2"/>
  <c r="BI55" i="2"/>
  <c r="BQ55" i="2"/>
  <c r="BJ55" i="2"/>
  <c r="BR55" i="2"/>
  <c r="BK55" i="2"/>
  <c r="BS55" i="2"/>
  <c r="BL55" i="2"/>
  <c r="BT55" i="2"/>
  <c r="BM55" i="2"/>
  <c r="BU55" i="2"/>
  <c r="BF55" i="2"/>
  <c r="BN55" i="2"/>
  <c r="BO55" i="2"/>
  <c r="BG55" i="2"/>
  <c r="BI48" i="2"/>
  <c r="BQ48" i="2"/>
  <c r="BJ48" i="2"/>
  <c r="BR48" i="2"/>
  <c r="BK48" i="2"/>
  <c r="BS48" i="2"/>
  <c r="BL48" i="2"/>
  <c r="BT48" i="2"/>
  <c r="BM48" i="2"/>
  <c r="BU48" i="2"/>
  <c r="BF48" i="2"/>
  <c r="BN48" i="2"/>
  <c r="BG48" i="2"/>
  <c r="BO48" i="2"/>
  <c r="BP48" i="2"/>
  <c r="BH48" i="2"/>
  <c r="BH39" i="2"/>
  <c r="BP39" i="2"/>
  <c r="BL39" i="2"/>
  <c r="BU39" i="2"/>
  <c r="BM39" i="2"/>
  <c r="BN39" i="2"/>
  <c r="BF39" i="2"/>
  <c r="BO39" i="2"/>
  <c r="BG39" i="2"/>
  <c r="BQ39" i="2"/>
  <c r="BI39" i="2"/>
  <c r="BR39" i="2"/>
  <c r="BJ39" i="2"/>
  <c r="BS39" i="2"/>
  <c r="BT39" i="2"/>
  <c r="BK39" i="2"/>
  <c r="BH40" i="2"/>
  <c r="BP40" i="2"/>
  <c r="BI40" i="2"/>
  <c r="BQ40" i="2"/>
  <c r="BJ40" i="2"/>
  <c r="BR40" i="2"/>
  <c r="BK40" i="2"/>
  <c r="BS40" i="2"/>
  <c r="BL40" i="2"/>
  <c r="BT40" i="2"/>
  <c r="BM40" i="2"/>
  <c r="BU40" i="2"/>
  <c r="BF40" i="2"/>
  <c r="BN40" i="2"/>
  <c r="BG40" i="2"/>
  <c r="BO40" i="2"/>
  <c r="BH44" i="2"/>
  <c r="BP44" i="2"/>
  <c r="BI44" i="2"/>
  <c r="BQ44" i="2"/>
  <c r="BJ44" i="2"/>
  <c r="BR44" i="2"/>
  <c r="BK44" i="2"/>
  <c r="BS44" i="2"/>
  <c r="BL44" i="2"/>
  <c r="BT44" i="2"/>
  <c r="BM44" i="2"/>
  <c r="BU44" i="2"/>
  <c r="BF44" i="2"/>
  <c r="BN44" i="2"/>
  <c r="BG44" i="2"/>
  <c r="BO44" i="2"/>
  <c r="BI11" i="2"/>
  <c r="BQ11" i="2"/>
  <c r="BJ11" i="2"/>
  <c r="BR11" i="2"/>
  <c r="BK11" i="2"/>
  <c r="BS11" i="2"/>
  <c r="BL11" i="2"/>
  <c r="BT11" i="2"/>
  <c r="BM11" i="2"/>
  <c r="BU11" i="2"/>
  <c r="BF11" i="2"/>
  <c r="BN11" i="2"/>
  <c r="BG11" i="2"/>
  <c r="BO11" i="2"/>
  <c r="BH11" i="2"/>
  <c r="BP11" i="2"/>
  <c r="BL52" i="2"/>
  <c r="BT52" i="2"/>
  <c r="BF52" i="2"/>
  <c r="BN52" i="2"/>
  <c r="BG52" i="2"/>
  <c r="BO52" i="2"/>
  <c r="BJ52" i="2"/>
  <c r="BR52" i="2"/>
  <c r="BU52" i="2"/>
  <c r="BH52" i="2"/>
  <c r="BI52" i="2"/>
  <c r="BK52" i="2"/>
  <c r="BM52" i="2"/>
  <c r="BP52" i="2"/>
  <c r="BS52" i="2"/>
  <c r="BQ52" i="2"/>
  <c r="BL38" i="2"/>
  <c r="BT38" i="2"/>
  <c r="BF38" i="2"/>
  <c r="BN38" i="2"/>
  <c r="BG38" i="2"/>
  <c r="BO38" i="2"/>
  <c r="BP38" i="2"/>
  <c r="BH38" i="2"/>
  <c r="BJ38" i="2"/>
  <c r="BR38" i="2"/>
  <c r="BQ38" i="2"/>
  <c r="BS38" i="2"/>
  <c r="BM38" i="2"/>
  <c r="BU38" i="2"/>
  <c r="BI38" i="2"/>
  <c r="BK38" i="2"/>
  <c r="BL57" i="2"/>
  <c r="BT57" i="2"/>
  <c r="BM57" i="2"/>
  <c r="BU57" i="2"/>
  <c r="BF57" i="2"/>
  <c r="BN57" i="2"/>
  <c r="BG57" i="2"/>
  <c r="BO57" i="2"/>
  <c r="BH57" i="2"/>
  <c r="BP57" i="2"/>
  <c r="BI57" i="2"/>
  <c r="BQ57" i="2"/>
  <c r="BJ57" i="2"/>
  <c r="BR57" i="2"/>
  <c r="BK57" i="2"/>
  <c r="BS57" i="2"/>
  <c r="BM7" i="2"/>
  <c r="BU7" i="2"/>
  <c r="BF7" i="2"/>
  <c r="BN7" i="2"/>
  <c r="BG7" i="2"/>
  <c r="BO7" i="2"/>
  <c r="BH7" i="2"/>
  <c r="BP7" i="2"/>
  <c r="BI7" i="2"/>
  <c r="BQ7" i="2"/>
  <c r="BJ7" i="2"/>
  <c r="BR7" i="2"/>
  <c r="BK7" i="2"/>
  <c r="BS7" i="2"/>
  <c r="BL7" i="2"/>
  <c r="BT7" i="2"/>
  <c r="BL20" i="2"/>
  <c r="BT20" i="2"/>
  <c r="BF20" i="2"/>
  <c r="BI20" i="2"/>
  <c r="BQ20" i="2"/>
  <c r="BM20" i="2"/>
  <c r="BN20" i="2"/>
  <c r="BO20" i="2"/>
  <c r="BP20" i="2"/>
  <c r="BG20" i="2"/>
  <c r="BR20" i="2"/>
  <c r="BH20" i="2"/>
  <c r="BS20" i="2"/>
  <c r="BJ20" i="2"/>
  <c r="BU20" i="2"/>
  <c r="BK20" i="2"/>
  <c r="BL22" i="2"/>
  <c r="BT22" i="2"/>
  <c r="BM22" i="2"/>
  <c r="BU22" i="2"/>
  <c r="BF22" i="2"/>
  <c r="BN22" i="2"/>
  <c r="BG22" i="2"/>
  <c r="BO22" i="2"/>
  <c r="BH22" i="2"/>
  <c r="BP22" i="2"/>
  <c r="BI22" i="2"/>
  <c r="BQ22" i="2"/>
  <c r="BJ22" i="2"/>
  <c r="BR22" i="2"/>
  <c r="BK22" i="2"/>
  <c r="BS22" i="2"/>
  <c r="BL24" i="2"/>
  <c r="BT24" i="2"/>
  <c r="BM24" i="2"/>
  <c r="BU24" i="2"/>
  <c r="BF24" i="2"/>
  <c r="BN24" i="2"/>
  <c r="BG24" i="2"/>
  <c r="BO24" i="2"/>
  <c r="BH24" i="2"/>
  <c r="BP24" i="2"/>
  <c r="BI24" i="2"/>
  <c r="BQ24" i="2"/>
  <c r="BJ24" i="2"/>
  <c r="BR24" i="2"/>
  <c r="BK24" i="2"/>
  <c r="BS24" i="2"/>
  <c r="BF13" i="2"/>
  <c r="BN13" i="2"/>
  <c r="BG13" i="2"/>
  <c r="BO13" i="2"/>
  <c r="BH13" i="2"/>
  <c r="BP13" i="2"/>
  <c r="BI13" i="2"/>
  <c r="BQ13" i="2"/>
  <c r="BJ13" i="2"/>
  <c r="BR13" i="2"/>
  <c r="BK13" i="2"/>
  <c r="BS13" i="2"/>
  <c r="BL13" i="2"/>
  <c r="BT13" i="2"/>
  <c r="BU13" i="2"/>
  <c r="BM13" i="2"/>
  <c r="BH25" i="2"/>
  <c r="BP25" i="2"/>
  <c r="BI25" i="2"/>
  <c r="BQ25" i="2"/>
  <c r="BJ25" i="2"/>
  <c r="BR25" i="2"/>
  <c r="BK25" i="2"/>
  <c r="BS25" i="2"/>
  <c r="BL25" i="2"/>
  <c r="BT25" i="2"/>
  <c r="BF25" i="2"/>
  <c r="BN25" i="2"/>
  <c r="BU25" i="2"/>
  <c r="BO25" i="2"/>
  <c r="BG25" i="2"/>
  <c r="BM25" i="2"/>
  <c r="BI42" i="2"/>
  <c r="BQ42" i="2"/>
  <c r="BJ42" i="2"/>
  <c r="BR42" i="2"/>
  <c r="BK42" i="2"/>
  <c r="BS42" i="2"/>
  <c r="BL42" i="2"/>
  <c r="BT42" i="2"/>
  <c r="BM42" i="2"/>
  <c r="BU42" i="2"/>
  <c r="BF42" i="2"/>
  <c r="BN42" i="2"/>
  <c r="BG42" i="2"/>
  <c r="BO42" i="2"/>
  <c r="BH42" i="2"/>
  <c r="BP42" i="2"/>
  <c r="BI31" i="2"/>
  <c r="BQ31" i="2"/>
  <c r="BJ31" i="2"/>
  <c r="BR31" i="2"/>
  <c r="BK31" i="2"/>
  <c r="BS31" i="2"/>
  <c r="BL31" i="2"/>
  <c r="BT31" i="2"/>
  <c r="BM31" i="2"/>
  <c r="BU31" i="2"/>
  <c r="BF31" i="2"/>
  <c r="BN31" i="2"/>
  <c r="BG31" i="2"/>
  <c r="BO31" i="2"/>
  <c r="BH31" i="2"/>
  <c r="BP31" i="2"/>
  <c r="BH45" i="2"/>
  <c r="BP45" i="2"/>
  <c r="BJ45" i="2"/>
  <c r="BR45" i="2"/>
  <c r="BM45" i="2"/>
  <c r="BU45" i="2"/>
  <c r="BI45" i="2"/>
  <c r="BK45" i="2"/>
  <c r="BL45" i="2"/>
  <c r="BN45" i="2"/>
  <c r="BO45" i="2"/>
  <c r="BQ45" i="2"/>
  <c r="BF45" i="2"/>
  <c r="BS45" i="2"/>
  <c r="BG45" i="2"/>
  <c r="BT45" i="2"/>
  <c r="BH61" i="2"/>
  <c r="BP61" i="2"/>
  <c r="BI61" i="2"/>
  <c r="BQ61" i="2"/>
  <c r="BJ61" i="2"/>
  <c r="BR61" i="2"/>
  <c r="BK61" i="2"/>
  <c r="BS61" i="2"/>
  <c r="BL61" i="2"/>
  <c r="BT61" i="2"/>
  <c r="BM61" i="2"/>
  <c r="BU61" i="2"/>
  <c r="BF61" i="2"/>
  <c r="BN61" i="2"/>
  <c r="BG61" i="2"/>
  <c r="BO61" i="2"/>
  <c r="BH56" i="2"/>
  <c r="BP56" i="2"/>
  <c r="BI56" i="2"/>
  <c r="BQ56" i="2"/>
  <c r="BJ56" i="2"/>
  <c r="BR56" i="2"/>
  <c r="BK56" i="2"/>
  <c r="BS56" i="2"/>
  <c r="BL56" i="2"/>
  <c r="BT56" i="2"/>
  <c r="BM56" i="2"/>
  <c r="BU56" i="2"/>
  <c r="BF56" i="2"/>
  <c r="BN56" i="2"/>
  <c r="BG56" i="2"/>
  <c r="BO56" i="2"/>
  <c r="BK30" i="2"/>
  <c r="BS30" i="2"/>
  <c r="BL30" i="2"/>
  <c r="BT30" i="2"/>
  <c r="BM30" i="2"/>
  <c r="BU30" i="2"/>
  <c r="BF30" i="2"/>
  <c r="BN30" i="2"/>
  <c r="BG30" i="2"/>
  <c r="BO30" i="2"/>
  <c r="BH30" i="2"/>
  <c r="BP30" i="2"/>
  <c r="BI30" i="2"/>
  <c r="BQ30" i="2"/>
  <c r="BJ30" i="2"/>
  <c r="BR30" i="2"/>
  <c r="BL36" i="2"/>
  <c r="BT36" i="2"/>
  <c r="BM36" i="2"/>
  <c r="BU36" i="2"/>
  <c r="BF36" i="2"/>
  <c r="BN36" i="2"/>
  <c r="BG36" i="2"/>
  <c r="BO36" i="2"/>
  <c r="BH36" i="2"/>
  <c r="BP36" i="2"/>
  <c r="BJ36" i="2"/>
  <c r="BR36" i="2"/>
  <c r="BS36" i="2"/>
  <c r="BQ36" i="2"/>
  <c r="BI36" i="2"/>
  <c r="BK36" i="2"/>
  <c r="BL43" i="2"/>
  <c r="BT43" i="2"/>
  <c r="BI43" i="2"/>
  <c r="BR43" i="2"/>
  <c r="BJ43" i="2"/>
  <c r="BS43" i="2"/>
  <c r="BK43" i="2"/>
  <c r="BU43" i="2"/>
  <c r="BM43" i="2"/>
  <c r="BN43" i="2"/>
  <c r="BF43" i="2"/>
  <c r="BO43" i="2"/>
  <c r="BG43" i="2"/>
  <c r="BP43" i="2"/>
  <c r="BH43" i="2"/>
  <c r="BQ43" i="2"/>
  <c r="BL14" i="2"/>
  <c r="BT14" i="2"/>
  <c r="BM14" i="2"/>
  <c r="BU14" i="2"/>
  <c r="BF14" i="2"/>
  <c r="BN14" i="2"/>
  <c r="BG14" i="2"/>
  <c r="BO14" i="2"/>
  <c r="BH14" i="2"/>
  <c r="BP14" i="2"/>
  <c r="BI14" i="2"/>
  <c r="BQ14" i="2"/>
  <c r="BJ14" i="2"/>
  <c r="BR14" i="2"/>
  <c r="BK14" i="2"/>
  <c r="BS14" i="2"/>
  <c r="BN9" i="2"/>
  <c r="BS9" i="2"/>
  <c r="BK9" i="2"/>
  <c r="BO9" i="2"/>
  <c r="BM9" i="2"/>
  <c r="BL9" i="2"/>
  <c r="BU9" i="2"/>
  <c r="BI9" i="2"/>
  <c r="BT9" i="2"/>
  <c r="BH9" i="2"/>
  <c r="BR9" i="2"/>
  <c r="BG9" i="2"/>
  <c r="BQ9" i="2"/>
  <c r="BF9" i="2"/>
  <c r="BP9" i="2"/>
  <c r="BL34" i="2"/>
  <c r="BT34" i="2"/>
  <c r="BM34" i="2"/>
  <c r="BU34" i="2"/>
  <c r="BF34" i="2"/>
  <c r="BN34" i="2"/>
  <c r="BG34" i="2"/>
  <c r="BO34" i="2"/>
  <c r="BH34" i="2"/>
  <c r="BP34" i="2"/>
  <c r="BJ34" i="2"/>
  <c r="BR34" i="2"/>
  <c r="BS34" i="2"/>
  <c r="BI34" i="2"/>
  <c r="BK34" i="2"/>
  <c r="BQ34" i="2"/>
  <c r="BM33" i="2"/>
  <c r="BU33" i="2"/>
  <c r="BF33" i="2"/>
  <c r="BN33" i="2"/>
  <c r="BG33" i="2"/>
  <c r="BO33" i="2"/>
  <c r="BH33" i="2"/>
  <c r="BP33" i="2"/>
  <c r="BI33" i="2"/>
  <c r="BQ33" i="2"/>
  <c r="BJ33" i="2"/>
  <c r="BR33" i="2"/>
  <c r="BK33" i="2"/>
  <c r="BS33" i="2"/>
  <c r="BL33" i="2"/>
  <c r="BT33" i="2"/>
  <c r="BM50" i="2"/>
  <c r="BU50" i="2"/>
  <c r="BF50" i="2"/>
  <c r="BN50" i="2"/>
  <c r="BG50" i="2"/>
  <c r="BO50" i="2"/>
  <c r="BH50" i="2"/>
  <c r="BP50" i="2"/>
  <c r="BI50" i="2"/>
  <c r="BQ50" i="2"/>
  <c r="BJ50" i="2"/>
  <c r="BR50" i="2"/>
  <c r="BK50" i="2"/>
  <c r="BS50" i="2"/>
  <c r="BL50" i="2"/>
  <c r="BT50" i="2"/>
  <c r="BL53" i="2"/>
  <c r="BT53" i="2"/>
  <c r="BF53" i="2"/>
  <c r="BN53" i="2"/>
  <c r="BI53" i="2"/>
  <c r="BQ53" i="2"/>
  <c r="BG53" i="2"/>
  <c r="BS53" i="2"/>
  <c r="BH53" i="2"/>
  <c r="BU53" i="2"/>
  <c r="BJ53" i="2"/>
  <c r="BK53" i="2"/>
  <c r="BM53" i="2"/>
  <c r="BO53" i="2"/>
  <c r="BP53" i="2"/>
  <c r="BR53" i="2"/>
  <c r="BL46" i="2"/>
  <c r="BT46" i="2"/>
  <c r="BM46" i="2"/>
  <c r="BU46" i="2"/>
  <c r="BF46" i="2"/>
  <c r="BN46" i="2"/>
  <c r="BG46" i="2"/>
  <c r="BO46" i="2"/>
  <c r="BH46" i="2"/>
  <c r="BP46" i="2"/>
  <c r="BI46" i="2"/>
  <c r="BQ46" i="2"/>
  <c r="BJ46" i="2"/>
  <c r="BR46" i="2"/>
  <c r="BK46" i="2"/>
  <c r="BS46" i="2"/>
  <c r="BL3" i="2"/>
  <c r="BT3" i="2"/>
  <c r="BM3" i="2"/>
  <c r="BU3" i="2"/>
  <c r="BF3" i="2"/>
  <c r="BN3" i="2"/>
  <c r="BG3" i="2"/>
  <c r="BO3" i="2"/>
  <c r="BH3" i="2"/>
  <c r="BP3" i="2"/>
  <c r="BI3" i="2"/>
  <c r="BQ3" i="2"/>
  <c r="BJ3" i="2"/>
  <c r="BR3" i="2"/>
  <c r="BK3" i="2"/>
  <c r="BS3" i="2"/>
  <c r="BG28" i="2"/>
  <c r="BO28" i="2"/>
  <c r="BH28" i="2"/>
  <c r="BP28" i="2"/>
  <c r="BI28" i="2"/>
  <c r="BQ28" i="2"/>
  <c r="BJ28" i="2"/>
  <c r="BR28" i="2"/>
  <c r="BK28" i="2"/>
  <c r="BS28" i="2"/>
  <c r="BL28" i="2"/>
  <c r="BT28" i="2"/>
  <c r="BM28" i="2"/>
  <c r="BU28" i="2"/>
  <c r="BF28" i="2"/>
  <c r="BN28" i="2"/>
  <c r="BH59" i="2"/>
  <c r="BP59" i="2"/>
  <c r="BJ59" i="2"/>
  <c r="BR59" i="2"/>
  <c r="BK59" i="2"/>
  <c r="BS59" i="2"/>
  <c r="BF59" i="2"/>
  <c r="BN59" i="2"/>
  <c r="BM59" i="2"/>
  <c r="BO59" i="2"/>
  <c r="BT59" i="2"/>
  <c r="BL59" i="2"/>
  <c r="BQ59" i="2"/>
  <c r="BU59" i="2"/>
  <c r="BG59" i="2"/>
  <c r="BI59" i="2"/>
  <c r="BH16" i="2"/>
  <c r="BP16" i="2"/>
  <c r="BI16" i="2"/>
  <c r="BQ16" i="2"/>
  <c r="BJ16" i="2"/>
  <c r="BR16" i="2"/>
  <c r="BK16" i="2"/>
  <c r="BS16" i="2"/>
  <c r="BL16" i="2"/>
  <c r="BT16" i="2"/>
  <c r="BF16" i="2"/>
  <c r="BN16" i="2"/>
  <c r="BU16" i="2"/>
  <c r="BG16" i="2"/>
  <c r="BO16" i="2"/>
  <c r="BM16" i="2"/>
  <c r="BI47" i="2"/>
  <c r="BQ47" i="2"/>
  <c r="BJ47" i="2"/>
  <c r="BR47" i="2"/>
  <c r="BK47" i="2"/>
  <c r="BS47" i="2"/>
  <c r="BL47" i="2"/>
  <c r="BT47" i="2"/>
  <c r="BM47" i="2"/>
  <c r="BU47" i="2"/>
  <c r="BF47" i="2"/>
  <c r="BN47" i="2"/>
  <c r="BG47" i="2"/>
  <c r="BO47" i="2"/>
  <c r="BP47" i="2"/>
  <c r="BH47" i="2"/>
  <c r="BI51" i="2"/>
  <c r="BQ51" i="2"/>
  <c r="BJ51" i="2"/>
  <c r="BR51" i="2"/>
  <c r="BK51" i="2"/>
  <c r="BS51" i="2"/>
  <c r="BL51" i="2"/>
  <c r="BT51" i="2"/>
  <c r="BM51" i="2"/>
  <c r="BU51" i="2"/>
  <c r="BF51" i="2"/>
  <c r="BN51" i="2"/>
  <c r="BG51" i="2"/>
  <c r="BO51" i="2"/>
  <c r="BP51" i="2"/>
  <c r="BH51" i="2"/>
  <c r="BH4" i="2"/>
  <c r="BP4" i="2"/>
  <c r="BJ4" i="2"/>
  <c r="BR4" i="2"/>
  <c r="BM4" i="2"/>
  <c r="BU4" i="2"/>
  <c r="BO4" i="2"/>
  <c r="BQ4" i="2"/>
  <c r="BF4" i="2"/>
  <c r="BS4" i="2"/>
  <c r="BG4" i="2"/>
  <c r="BT4" i="2"/>
  <c r="BI4" i="2"/>
  <c r="BK4" i="2"/>
  <c r="BL4" i="2"/>
  <c r="BN4" i="2"/>
  <c r="BH54" i="2"/>
  <c r="BP54" i="2"/>
  <c r="BI54" i="2"/>
  <c r="BQ54" i="2"/>
  <c r="BJ54" i="2"/>
  <c r="BR54" i="2"/>
  <c r="BK54" i="2"/>
  <c r="BS54" i="2"/>
  <c r="BL54" i="2"/>
  <c r="BT54" i="2"/>
  <c r="BM54" i="2"/>
  <c r="BU54" i="2"/>
  <c r="BF54" i="2"/>
  <c r="BN54" i="2"/>
  <c r="BG54" i="2"/>
  <c r="BO54" i="2"/>
  <c r="BH6" i="2"/>
  <c r="BP6" i="2"/>
  <c r="BI6" i="2"/>
  <c r="BQ6" i="2"/>
  <c r="BJ6" i="2"/>
  <c r="BR6" i="2"/>
  <c r="BK6" i="2"/>
  <c r="BS6" i="2"/>
  <c r="BL6" i="2"/>
  <c r="BT6" i="2"/>
  <c r="BM6" i="2"/>
  <c r="BU6" i="2"/>
  <c r="BF6" i="2"/>
  <c r="BN6" i="2"/>
  <c r="BG6" i="2"/>
  <c r="BO6" i="2"/>
  <c r="BL15" i="2"/>
  <c r="BT15" i="2"/>
  <c r="BM15" i="2"/>
  <c r="BU15" i="2"/>
  <c r="BF15" i="2"/>
  <c r="BN15" i="2"/>
  <c r="BG15" i="2"/>
  <c r="BO15" i="2"/>
  <c r="BH15" i="2"/>
  <c r="BP15" i="2"/>
  <c r="BI15" i="2"/>
  <c r="BQ15" i="2"/>
  <c r="BJ15" i="2"/>
  <c r="BR15" i="2"/>
  <c r="BK15" i="2"/>
  <c r="BS15" i="2"/>
  <c r="BL62" i="2"/>
  <c r="BT62" i="2"/>
  <c r="BF62" i="2"/>
  <c r="BN62" i="2"/>
  <c r="BG62" i="2"/>
  <c r="BO62" i="2"/>
  <c r="BJ62" i="2"/>
  <c r="BR62" i="2"/>
  <c r="BU62" i="2"/>
  <c r="BH62" i="2"/>
  <c r="BI62" i="2"/>
  <c r="BK62" i="2"/>
  <c r="BM62" i="2"/>
  <c r="BP62" i="2"/>
  <c r="BS62" i="2"/>
  <c r="BQ62" i="2"/>
  <c r="BL35" i="2"/>
  <c r="BT35" i="2"/>
  <c r="BM35" i="2"/>
  <c r="BU35" i="2"/>
  <c r="BF35" i="2"/>
  <c r="BN35" i="2"/>
  <c r="BG35" i="2"/>
  <c r="BO35" i="2"/>
  <c r="BH35" i="2"/>
  <c r="BP35" i="2"/>
  <c r="BJ35" i="2"/>
  <c r="BR35" i="2"/>
  <c r="BS35" i="2"/>
  <c r="BQ35" i="2"/>
  <c r="BI35" i="2"/>
  <c r="BK35" i="2"/>
  <c r="BM18" i="2"/>
  <c r="BU18" i="2"/>
  <c r="BF18" i="2"/>
  <c r="BN18" i="2"/>
  <c r="BG18" i="2"/>
  <c r="BO18" i="2"/>
  <c r="BH18" i="2"/>
  <c r="BP18" i="2"/>
  <c r="BI18" i="2"/>
  <c r="BQ18" i="2"/>
  <c r="BJ18" i="2"/>
  <c r="BR18" i="2"/>
  <c r="BK18" i="2"/>
  <c r="BS18" i="2"/>
  <c r="BL18" i="2"/>
  <c r="BT18" i="2"/>
  <c r="BM17" i="2"/>
  <c r="BU17" i="2"/>
  <c r="BF17" i="2"/>
  <c r="BN17" i="2"/>
  <c r="BG17" i="2"/>
  <c r="BO17" i="2"/>
  <c r="BH17" i="2"/>
  <c r="BP17" i="2"/>
  <c r="BI17" i="2"/>
  <c r="BQ17" i="2"/>
  <c r="BJ17" i="2"/>
  <c r="BR17" i="2"/>
  <c r="BK17" i="2"/>
  <c r="BS17" i="2"/>
  <c r="BL17" i="2"/>
  <c r="BT17" i="2"/>
  <c r="BL10" i="2"/>
  <c r="BT10" i="2"/>
  <c r="BM10" i="2"/>
  <c r="BU10" i="2"/>
  <c r="BF10" i="2"/>
  <c r="BN10" i="2"/>
  <c r="BG10" i="2"/>
  <c r="BI10" i="2"/>
  <c r="BQ10" i="2"/>
  <c r="BJ10" i="2"/>
  <c r="BK10" i="2"/>
  <c r="BO10" i="2"/>
  <c r="BP10" i="2"/>
  <c r="BR10" i="2"/>
  <c r="BS10" i="2"/>
  <c r="BH10" i="2"/>
  <c r="BL21" i="2"/>
  <c r="BT21" i="2"/>
  <c r="BM21" i="2"/>
  <c r="BU21" i="2"/>
  <c r="BF21" i="2"/>
  <c r="BN21" i="2"/>
  <c r="BG21" i="2"/>
  <c r="BO21" i="2"/>
  <c r="BH21" i="2"/>
  <c r="BP21" i="2"/>
  <c r="BI21" i="2"/>
  <c r="BQ21" i="2"/>
  <c r="BJ21" i="2"/>
  <c r="BR21" i="2"/>
  <c r="BK21" i="2"/>
  <c r="BS21" i="2"/>
  <c r="BL5" i="2"/>
  <c r="BT5" i="2"/>
  <c r="BM5" i="2"/>
  <c r="BU5" i="2"/>
  <c r="BF5" i="2"/>
  <c r="BN5" i="2"/>
  <c r="BG5" i="2"/>
  <c r="BO5" i="2"/>
  <c r="BH5" i="2"/>
  <c r="BP5" i="2"/>
  <c r="BI5" i="2"/>
  <c r="BQ5" i="2"/>
  <c r="BJ5" i="2"/>
  <c r="BR5" i="2"/>
  <c r="BK5" i="2"/>
  <c r="BS5" i="2"/>
  <c r="BH8" i="2"/>
  <c r="BP8" i="2"/>
  <c r="BI8" i="2"/>
  <c r="BQ8" i="2"/>
  <c r="BJ8" i="2"/>
  <c r="BR8" i="2"/>
  <c r="BK8" i="2"/>
  <c r="BS8" i="2"/>
  <c r="BL8" i="2"/>
  <c r="BT8" i="2"/>
  <c r="BM8" i="2"/>
  <c r="BU8" i="2"/>
  <c r="BF8" i="2"/>
  <c r="BN8" i="2"/>
  <c r="BO8" i="2"/>
  <c r="BG8" i="2"/>
  <c r="BH60" i="2"/>
  <c r="BP60" i="2"/>
  <c r="BJ60" i="2"/>
  <c r="BR60" i="2"/>
  <c r="BK60" i="2"/>
  <c r="BS60" i="2"/>
  <c r="BF60" i="2"/>
  <c r="BN60" i="2"/>
  <c r="BM60" i="2"/>
  <c r="BO60" i="2"/>
  <c r="BQ60" i="2"/>
  <c r="BT60" i="2"/>
  <c r="BL60" i="2"/>
  <c r="BU60" i="2"/>
  <c r="BG60" i="2"/>
  <c r="BI60" i="2"/>
  <c r="BH58" i="2"/>
  <c r="BP58" i="2"/>
  <c r="BI58" i="2"/>
  <c r="BQ58" i="2"/>
  <c r="BJ58" i="2"/>
  <c r="BR58" i="2"/>
  <c r="BK58" i="2"/>
  <c r="BS58" i="2"/>
  <c r="BL58" i="2"/>
  <c r="BT58" i="2"/>
  <c r="BF58" i="2"/>
  <c r="BN58" i="2"/>
  <c r="BU58" i="2"/>
  <c r="BG58" i="2"/>
  <c r="BO58" i="2"/>
  <c r="BM58" i="2"/>
  <c r="BI41" i="2"/>
  <c r="BQ41" i="2"/>
  <c r="BJ41" i="2"/>
  <c r="BR41" i="2"/>
  <c r="BK41" i="2"/>
  <c r="BS41" i="2"/>
  <c r="BL41" i="2"/>
  <c r="BT41" i="2"/>
  <c r="BM41" i="2"/>
  <c r="BU41" i="2"/>
  <c r="BF41" i="2"/>
  <c r="BN41" i="2"/>
  <c r="BG41" i="2"/>
  <c r="BO41" i="2"/>
  <c r="BH41" i="2"/>
  <c r="BP41" i="2"/>
  <c r="BH12" i="2"/>
  <c r="BP12" i="2"/>
  <c r="BG12" i="2"/>
  <c r="BQ12" i="2"/>
  <c r="BI12" i="2"/>
  <c r="BR12" i="2"/>
  <c r="BJ12" i="2"/>
  <c r="BS12" i="2"/>
  <c r="BK12" i="2"/>
  <c r="BT12" i="2"/>
  <c r="BL12" i="2"/>
  <c r="BU12" i="2"/>
  <c r="BM12" i="2"/>
  <c r="BN12" i="2"/>
  <c r="BF12" i="2"/>
  <c r="BO12" i="2"/>
  <c r="BG26" i="2"/>
  <c r="BO26" i="2"/>
  <c r="BH26" i="2"/>
  <c r="BP26" i="2"/>
  <c r="BI26" i="2"/>
  <c r="BQ26" i="2"/>
  <c r="BJ26" i="2"/>
  <c r="BR26" i="2"/>
  <c r="BK26" i="2"/>
  <c r="BS26" i="2"/>
  <c r="BL26" i="2"/>
  <c r="BT26" i="2"/>
  <c r="BM26" i="2"/>
  <c r="BU26" i="2"/>
  <c r="BF26" i="2"/>
  <c r="BN26" i="2"/>
  <c r="BH27" i="2"/>
  <c r="BP27" i="2"/>
  <c r="BI27" i="2"/>
  <c r="BQ27" i="2"/>
  <c r="BJ27" i="2"/>
  <c r="BR27" i="2"/>
  <c r="BK27" i="2"/>
  <c r="BS27" i="2"/>
  <c r="BL27" i="2"/>
  <c r="BT27" i="2"/>
  <c r="BM27" i="2"/>
  <c r="BU27" i="2"/>
  <c r="BF27" i="2"/>
  <c r="BN27" i="2"/>
  <c r="BG27" i="2"/>
  <c r="BO27" i="2"/>
  <c r="BL19" i="2"/>
  <c r="BT19" i="2"/>
  <c r="BM19" i="2"/>
  <c r="BU19" i="2"/>
  <c r="BF19" i="2"/>
  <c r="BN19" i="2"/>
  <c r="BG19" i="2"/>
  <c r="BO19" i="2"/>
  <c r="BH19" i="2"/>
  <c r="BP19" i="2"/>
  <c r="BI19" i="2"/>
  <c r="BQ19" i="2"/>
  <c r="BJ19" i="2"/>
  <c r="BR19" i="2"/>
  <c r="BK19" i="2"/>
  <c r="BS19" i="2"/>
  <c r="BG29" i="2"/>
  <c r="BO29" i="2"/>
  <c r="BH29" i="2"/>
  <c r="BP29" i="2"/>
  <c r="BJ29" i="2"/>
  <c r="BI29" i="2"/>
  <c r="BQ29" i="2"/>
  <c r="BK29" i="2"/>
  <c r="BS29" i="2"/>
  <c r="BR29" i="2"/>
  <c r="BL29" i="2"/>
  <c r="BT29" i="2"/>
  <c r="BM29" i="2"/>
  <c r="BU29" i="2"/>
  <c r="BF29" i="2"/>
  <c r="BN29" i="2"/>
  <c r="E26" i="2"/>
  <c r="J26" i="2"/>
  <c r="G26" i="2"/>
  <c r="I26" i="2"/>
  <c r="H26" i="2"/>
  <c r="E52" i="2"/>
  <c r="G52" i="2"/>
  <c r="H52" i="2"/>
  <c r="I52" i="2"/>
  <c r="J52" i="2"/>
  <c r="E36" i="2"/>
  <c r="G36" i="2"/>
  <c r="H36" i="2"/>
  <c r="I36" i="2"/>
  <c r="J36" i="2"/>
  <c r="E49" i="2"/>
  <c r="G49" i="2"/>
  <c r="H49" i="2"/>
  <c r="I49" i="2"/>
  <c r="J49" i="2"/>
  <c r="E43" i="2"/>
  <c r="G43" i="2"/>
  <c r="H43" i="2"/>
  <c r="I43" i="2"/>
  <c r="J43" i="2"/>
  <c r="E37" i="2"/>
  <c r="G37" i="2"/>
  <c r="H37" i="2"/>
  <c r="I37" i="2"/>
  <c r="J37" i="2"/>
  <c r="E23" i="2"/>
  <c r="G23" i="2"/>
  <c r="H23" i="2"/>
  <c r="I23" i="2"/>
  <c r="J23" i="2"/>
  <c r="E14" i="2"/>
  <c r="G14" i="2"/>
  <c r="H14" i="2"/>
  <c r="I14" i="2"/>
  <c r="J14" i="2"/>
  <c r="E12" i="2"/>
  <c r="J12" i="2"/>
  <c r="G12" i="2"/>
  <c r="I12" i="2"/>
  <c r="H12" i="2"/>
  <c r="E32" i="2"/>
  <c r="H32" i="2"/>
  <c r="G32" i="2"/>
  <c r="I32" i="2"/>
  <c r="J32" i="2"/>
  <c r="E55" i="2"/>
  <c r="H55" i="2"/>
  <c r="G55" i="2"/>
  <c r="I55" i="2"/>
  <c r="J55" i="2"/>
  <c r="E48" i="2"/>
  <c r="H48" i="2"/>
  <c r="G48" i="2"/>
  <c r="I48" i="2"/>
  <c r="J48" i="2"/>
  <c r="E39" i="2"/>
  <c r="H39" i="2"/>
  <c r="G39" i="2"/>
  <c r="I39" i="2"/>
  <c r="J39" i="2"/>
  <c r="E40" i="2"/>
  <c r="H40" i="2"/>
  <c r="G40" i="2"/>
  <c r="I40" i="2"/>
  <c r="J40" i="2"/>
  <c r="E44" i="2"/>
  <c r="H44" i="2"/>
  <c r="G44" i="2"/>
  <c r="I44" i="2"/>
  <c r="J44" i="2"/>
  <c r="E11" i="2"/>
  <c r="H11" i="2"/>
  <c r="G11" i="2"/>
  <c r="I11" i="2"/>
  <c r="J11" i="2"/>
  <c r="E58" i="2"/>
  <c r="J58" i="2"/>
  <c r="G58" i="2"/>
  <c r="I58" i="2"/>
  <c r="H58" i="2"/>
  <c r="E38" i="2"/>
  <c r="G38" i="2"/>
  <c r="H38" i="2"/>
  <c r="I38" i="2"/>
  <c r="J38" i="2"/>
  <c r="E22" i="2"/>
  <c r="G22" i="2"/>
  <c r="H22" i="2"/>
  <c r="I22" i="2"/>
  <c r="J22" i="2"/>
  <c r="E9" i="2"/>
  <c r="I9" i="2"/>
  <c r="H9" i="2"/>
  <c r="J9" i="2"/>
  <c r="G9" i="2"/>
  <c r="E25" i="2"/>
  <c r="H25" i="2"/>
  <c r="I25" i="2"/>
  <c r="J25" i="2"/>
  <c r="G25" i="2"/>
  <c r="E42" i="2"/>
  <c r="H42" i="2"/>
  <c r="I42" i="2"/>
  <c r="J42" i="2"/>
  <c r="G42" i="2"/>
  <c r="E31" i="2"/>
  <c r="H31" i="2"/>
  <c r="I31" i="2"/>
  <c r="J31" i="2"/>
  <c r="G31" i="2"/>
  <c r="E45" i="2"/>
  <c r="H45" i="2"/>
  <c r="I45" i="2"/>
  <c r="J45" i="2"/>
  <c r="G45" i="2"/>
  <c r="E61" i="2"/>
  <c r="H61" i="2"/>
  <c r="I61" i="2"/>
  <c r="J61" i="2"/>
  <c r="G61" i="2"/>
  <c r="E56" i="2"/>
  <c r="H56" i="2"/>
  <c r="I56" i="2"/>
  <c r="J56" i="2"/>
  <c r="G56" i="2"/>
  <c r="E30" i="2"/>
  <c r="H30" i="2"/>
  <c r="I30" i="2"/>
  <c r="J30" i="2"/>
  <c r="G30" i="2"/>
  <c r="E60" i="2"/>
  <c r="J60" i="2"/>
  <c r="G60" i="2"/>
  <c r="I60" i="2"/>
  <c r="H60" i="2"/>
  <c r="E29" i="2"/>
  <c r="J29" i="2"/>
  <c r="G29" i="2"/>
  <c r="H29" i="2"/>
  <c r="I29" i="2"/>
  <c r="E7" i="2"/>
  <c r="H7" i="2"/>
  <c r="G7" i="2"/>
  <c r="I7" i="2"/>
  <c r="J7" i="2"/>
  <c r="E24" i="2"/>
  <c r="J24" i="2"/>
  <c r="H24" i="2"/>
  <c r="G24" i="2"/>
  <c r="I24" i="2"/>
  <c r="E19" i="2"/>
  <c r="J19" i="2"/>
  <c r="G19" i="2"/>
  <c r="I19" i="2"/>
  <c r="H19" i="2"/>
  <c r="E34" i="2"/>
  <c r="I34" i="2"/>
  <c r="J34" i="2"/>
  <c r="H34" i="2"/>
  <c r="G34" i="2"/>
  <c r="E33" i="2"/>
  <c r="I33" i="2"/>
  <c r="J33" i="2"/>
  <c r="H33" i="2"/>
  <c r="G33" i="2"/>
  <c r="E50" i="2"/>
  <c r="I50" i="2"/>
  <c r="J50" i="2"/>
  <c r="H50" i="2"/>
  <c r="G50" i="2"/>
  <c r="E53" i="2"/>
  <c r="I53" i="2"/>
  <c r="J53" i="2"/>
  <c r="H53" i="2"/>
  <c r="G53" i="2"/>
  <c r="E46" i="2"/>
  <c r="I46" i="2"/>
  <c r="J46" i="2"/>
  <c r="H46" i="2"/>
  <c r="G46" i="2"/>
  <c r="E3" i="2"/>
  <c r="I3" i="2"/>
  <c r="J3" i="2"/>
  <c r="H3" i="2"/>
  <c r="G3" i="2"/>
  <c r="E28" i="2"/>
  <c r="I28" i="2"/>
  <c r="H28" i="2"/>
  <c r="J28" i="2"/>
  <c r="G28" i="2"/>
  <c r="E27" i="2"/>
  <c r="J27" i="2"/>
  <c r="G27" i="2"/>
  <c r="I27" i="2"/>
  <c r="H27" i="2"/>
  <c r="E57" i="2"/>
  <c r="G57" i="2"/>
  <c r="H57" i="2"/>
  <c r="J57" i="2"/>
  <c r="I57" i="2"/>
  <c r="E59" i="2"/>
  <c r="H59" i="2"/>
  <c r="G59" i="2"/>
  <c r="I59" i="2"/>
  <c r="J59" i="2"/>
  <c r="E16" i="2"/>
  <c r="H16" i="2"/>
  <c r="G16" i="2"/>
  <c r="I16" i="2"/>
  <c r="J16" i="2"/>
  <c r="E47" i="2"/>
  <c r="H47" i="2"/>
  <c r="G47" i="2"/>
  <c r="I47" i="2"/>
  <c r="J47" i="2"/>
  <c r="E51" i="2"/>
  <c r="H51" i="2"/>
  <c r="G51" i="2"/>
  <c r="I51" i="2"/>
  <c r="J51" i="2"/>
  <c r="E4" i="2"/>
  <c r="H4" i="2"/>
  <c r="G4" i="2"/>
  <c r="I4" i="2"/>
  <c r="J4" i="2"/>
  <c r="E54" i="2"/>
  <c r="H54" i="2"/>
  <c r="G54" i="2"/>
  <c r="I54" i="2"/>
  <c r="J54" i="2"/>
  <c r="E6" i="2"/>
  <c r="H6" i="2"/>
  <c r="G6" i="2"/>
  <c r="I6" i="2"/>
  <c r="J6" i="2"/>
  <c r="E15" i="2"/>
  <c r="H15" i="2"/>
  <c r="G15" i="2"/>
  <c r="I15" i="2"/>
  <c r="J15" i="2"/>
  <c r="E41" i="2"/>
  <c r="J41" i="2"/>
  <c r="G41" i="2"/>
  <c r="I41" i="2"/>
  <c r="H41" i="2"/>
  <c r="E20" i="2"/>
  <c r="H20" i="2"/>
  <c r="J20" i="2"/>
  <c r="I20" i="2"/>
  <c r="G20" i="2"/>
  <c r="E13" i="2"/>
  <c r="J13" i="2"/>
  <c r="G13" i="2"/>
  <c r="H13" i="2"/>
  <c r="I13" i="2"/>
  <c r="E62" i="2"/>
  <c r="H62" i="2"/>
  <c r="I62" i="2"/>
  <c r="J62" i="2"/>
  <c r="G62" i="2"/>
  <c r="E35" i="2"/>
  <c r="H35" i="2"/>
  <c r="I35" i="2"/>
  <c r="J35" i="2"/>
  <c r="G35" i="2"/>
  <c r="E18" i="2"/>
  <c r="H18" i="2"/>
  <c r="I18" i="2"/>
  <c r="J18" i="2"/>
  <c r="G18" i="2"/>
  <c r="E17" i="2"/>
  <c r="H17" i="2"/>
  <c r="I17" i="2"/>
  <c r="J17" i="2"/>
  <c r="G17" i="2"/>
  <c r="E10" i="2"/>
  <c r="H10" i="2"/>
  <c r="I10" i="2"/>
  <c r="J10" i="2"/>
  <c r="G10" i="2"/>
  <c r="E21" i="2"/>
  <c r="H21" i="2"/>
  <c r="I21" i="2"/>
  <c r="J21" i="2"/>
  <c r="G21" i="2"/>
  <c r="E5" i="2"/>
  <c r="H5" i="2"/>
  <c r="I5" i="2"/>
  <c r="J5" i="2"/>
  <c r="G5" i="2"/>
  <c r="E8" i="2"/>
  <c r="H8" i="2"/>
  <c r="I8" i="2"/>
  <c r="J8" i="2"/>
  <c r="G8" i="2"/>
  <c r="AO9" i="2"/>
  <c r="O9" i="2" s="1"/>
  <c r="N9" i="2" s="1"/>
  <c r="AR9" i="2"/>
  <c r="BY9" i="2" s="1"/>
  <c r="AV9" i="2"/>
  <c r="BJ9" i="2"/>
</calcChain>
</file>

<file path=xl/sharedStrings.xml><?xml version="1.0" encoding="utf-8"?>
<sst xmlns="http://schemas.openxmlformats.org/spreadsheetml/2006/main" count="620" uniqueCount="326">
  <si>
    <t>team_num</t>
  </si>
  <si>
    <t xml:space="preserve"> team_name</t>
  </si>
  <si>
    <t xml:space="preserve"> num_matches</t>
  </si>
  <si>
    <t xml:space="preserve"> tot_auto_left</t>
  </si>
  <si>
    <t xml:space="preserve"> tot_auto_center</t>
  </si>
  <si>
    <t xml:space="preserve"> tot_auto_right</t>
  </si>
  <si>
    <t xml:space="preserve"> tot_auto_cross</t>
  </si>
  <si>
    <t xml:space="preserve"> tot_auto_pyramid_intake</t>
  </si>
  <si>
    <t xml:space="preserve"> avg_auto_pyramid_intake</t>
  </si>
  <si>
    <t xml:space="preserve"> tot_auto_unprotected_intake</t>
  </si>
  <si>
    <t xml:space="preserve"> avg_auto_unprotected_intake</t>
  </si>
  <si>
    <t xml:space="preserve"> perc_auto_near_switch_made</t>
  </si>
  <si>
    <t xml:space="preserve"> avg_auto_near_switch_made</t>
  </si>
  <si>
    <t xml:space="preserve"> avg_auto_near_switch_attempts</t>
  </si>
  <si>
    <t xml:space="preserve"> tot_auto_near_switch_made</t>
  </si>
  <si>
    <t xml:space="preserve"> tot_auto_near_switch_attempts</t>
  </si>
  <si>
    <t xml:space="preserve"> perc_auto_scale_high_made</t>
  </si>
  <si>
    <t xml:space="preserve"> avg_auto_scale_high_made</t>
  </si>
  <si>
    <t xml:space="preserve"> avg_auto_scale_high_attempts</t>
  </si>
  <si>
    <t xml:space="preserve"> tot_auto_scale_high_made</t>
  </si>
  <si>
    <t xml:space="preserve"> tot_auto_scale_high_attempts</t>
  </si>
  <si>
    <t xml:space="preserve"> perc_auto_scale_low_made</t>
  </si>
  <si>
    <t xml:space="preserve"> avg_auto_scale_low_made</t>
  </si>
  <si>
    <t xml:space="preserve"> avg_auto_scale_low_attempts</t>
  </si>
  <si>
    <t xml:space="preserve"> tot_auto_scale_low_made</t>
  </si>
  <si>
    <t xml:space="preserve"> tot_auto_scale_low_attempts</t>
  </si>
  <si>
    <t xml:space="preserve"> perc_auto_exchange_made</t>
  </si>
  <si>
    <t xml:space="preserve"> avg_auto_exchange_made</t>
  </si>
  <si>
    <t xml:space="preserve"> avg_auto_exchange_attempts</t>
  </si>
  <si>
    <t xml:space="preserve"> tot_auto_exchange_made</t>
  </si>
  <si>
    <t xml:space="preserve"> tot_auto_exchange_attempts</t>
  </si>
  <si>
    <t xml:space="preserve"> tot_tele_intake</t>
  </si>
  <si>
    <t xml:space="preserve"> avg_tele_intake</t>
  </si>
  <si>
    <t xml:space="preserve"> max_tele_intake</t>
  </si>
  <si>
    <t xml:space="preserve"> tot_tele_floor_intake</t>
  </si>
  <si>
    <t xml:space="preserve"> avg_tele_floor_intake</t>
  </si>
  <si>
    <t xml:space="preserve"> perc_tele_portal_intake_made</t>
  </si>
  <si>
    <t xml:space="preserve"> avg_tele_portal_intake_made</t>
  </si>
  <si>
    <t xml:space="preserve"> avg_tele_portal_intake_attempts</t>
  </si>
  <si>
    <t xml:space="preserve"> tot_tele_portal_intake_made</t>
  </si>
  <si>
    <t xml:space="preserve"> tot_tele_portal_intake_attempts</t>
  </si>
  <si>
    <t xml:space="preserve"> tot_tele_pyramid_intake</t>
  </si>
  <si>
    <t xml:space="preserve"> avg_tele_pyramid_intake</t>
  </si>
  <si>
    <t xml:space="preserve"> tot_tele_unprotected_intake</t>
  </si>
  <si>
    <t xml:space="preserve"> avg_tele_unprotected_intake</t>
  </si>
  <si>
    <t xml:space="preserve"> perc_tele_near_switch_made</t>
  </si>
  <si>
    <t xml:space="preserve"> avg_tele_near_switch_made</t>
  </si>
  <si>
    <t xml:space="preserve"> avg_tele_near_switch_attempts</t>
  </si>
  <si>
    <t xml:space="preserve"> tot_tele_near_switch_made</t>
  </si>
  <si>
    <t xml:space="preserve"> tot_tele_near_switch_attempts</t>
  </si>
  <si>
    <t xml:space="preserve"> perc_tele_far_switch_made</t>
  </si>
  <si>
    <t xml:space="preserve"> avg_tele_far_switch_made</t>
  </si>
  <si>
    <t xml:space="preserve"> avg_tele_far_switch_attempts</t>
  </si>
  <si>
    <t xml:space="preserve"> tot_tele_far_switch_made</t>
  </si>
  <si>
    <t xml:space="preserve"> tot_tele_far_switch_attempts</t>
  </si>
  <si>
    <t xml:space="preserve"> perc_tele_scale_high_made</t>
  </si>
  <si>
    <t xml:space="preserve"> avg_tele_scale_high_made</t>
  </si>
  <si>
    <t xml:space="preserve"> avg_tele_scale_high_attempts</t>
  </si>
  <si>
    <t xml:space="preserve"> tot_tele_scale_high_made</t>
  </si>
  <si>
    <t xml:space="preserve"> tot_tele_scale_high_attempts</t>
  </si>
  <si>
    <t xml:space="preserve"> perc_tele_scale_low_made</t>
  </si>
  <si>
    <t xml:space="preserve"> avg_tele_scale_low_made</t>
  </si>
  <si>
    <t xml:space="preserve"> avg_tele_scale_low_attempts</t>
  </si>
  <si>
    <t xml:space="preserve"> tot_tele_scale_low_made</t>
  </si>
  <si>
    <t xml:space="preserve"> tot_tele_scale_low_attempts</t>
  </si>
  <si>
    <t xml:space="preserve"> perc_tele_exchange_made</t>
  </si>
  <si>
    <t xml:space="preserve"> avg_tele_exchange_made</t>
  </si>
  <si>
    <t xml:space="preserve"> avg_tele_exchange_attempts</t>
  </si>
  <si>
    <t xml:space="preserve"> tot_tele_exchange_made</t>
  </si>
  <si>
    <t xml:space="preserve"> tot_tele_exchange_attempts</t>
  </si>
  <si>
    <t xml:space="preserve"> tot_tele_cubes_scored</t>
  </si>
  <si>
    <t xml:space="preserve"> avg_tele_cubes_scored</t>
  </si>
  <si>
    <t xml:space="preserve"> max_tele_cubes_scored</t>
  </si>
  <si>
    <t xml:space="preserve"> tot_tele_knockouts</t>
  </si>
  <si>
    <t xml:space="preserve"> avg_tele_knockouts</t>
  </si>
  <si>
    <t xml:space="preserve"> tot_tele_cubes_dropped</t>
  </si>
  <si>
    <t xml:space="preserve"> avg_tele_cubes_dropped</t>
  </si>
  <si>
    <t xml:space="preserve"> max_tele_highest_level</t>
  </si>
  <si>
    <t xml:space="preserve"> frq_tele_highest_level</t>
  </si>
  <si>
    <t xml:space="preserve"> tot_tele_orderly</t>
  </si>
  <si>
    <t xml:space="preserve"> perc_tele_climb</t>
  </si>
  <si>
    <t xml:space="preserve"> tot_tele_climb</t>
  </si>
  <si>
    <t xml:space="preserve"> tot_tele_climb_attempts</t>
  </si>
  <si>
    <t xml:space="preserve"> perc_tele_plus_one</t>
  </si>
  <si>
    <t xml:space="preserve"> tot_tele_plus_one</t>
  </si>
  <si>
    <t xml:space="preserve"> tot_tele_plus_one_attempts</t>
  </si>
  <si>
    <t xml:space="preserve"> perc_tele_plus_two</t>
  </si>
  <si>
    <t xml:space="preserve"> tot_tele_plus_two</t>
  </si>
  <si>
    <t xml:space="preserve"> tot_tele_plus_two_attempts</t>
  </si>
  <si>
    <t xml:space="preserve"> tot_tele_climb_assisted</t>
  </si>
  <si>
    <t xml:space="preserve"> tot_tele_platform</t>
  </si>
  <si>
    <t xml:space="preserve"> avg_tele_pyramid_scale_cycle</t>
  </si>
  <si>
    <t xml:space="preserve"> avg_tele_pyramid_near_switch_cycle</t>
  </si>
  <si>
    <t xml:space="preserve"> avg_tele_pyramid_far_switch_cycle</t>
  </si>
  <si>
    <t xml:space="preserve"> avg_tele_pyramid_exchange_cycle</t>
  </si>
  <si>
    <t xml:space="preserve"> avg_tele_unprotected_scale_cycle</t>
  </si>
  <si>
    <t xml:space="preserve"> avg_tele_unprotected_near_switch_cycle</t>
  </si>
  <si>
    <t xml:space="preserve"> avg_tele_unprotected_far_switch_cycle</t>
  </si>
  <si>
    <t xml:space="preserve"> avg_tele_unprotected_exchange_cycle</t>
  </si>
  <si>
    <t xml:space="preserve"> avg_tele_portal_scale_cycle</t>
  </si>
  <si>
    <t xml:space="preserve"> avg_tele_portal_near_switch_cycle</t>
  </si>
  <si>
    <t xml:space="preserve"> avg_tele_portal_far_switch_cycle</t>
  </si>
  <si>
    <t xml:space="preserve"> avg_tele_portal_exchange_cycle</t>
  </si>
  <si>
    <t xml:space="preserve"> avg_tele_floor_scale_cycle</t>
  </si>
  <si>
    <t xml:space="preserve"> avg_tele_floor_near_switch_cycle</t>
  </si>
  <si>
    <t xml:space="preserve"> avg_tele_floor_far_switch_cycle</t>
  </si>
  <si>
    <t xml:space="preserve"> avg_tele_floor_exchange_cycle</t>
  </si>
  <si>
    <t xml:space="preserve"> tot_tele_pyramid_scale_cycle</t>
  </si>
  <si>
    <t xml:space="preserve"> tot_tele_pyramid_near_switch_cycle</t>
  </si>
  <si>
    <t xml:space="preserve"> tot_tele_pyramid_far_switch_cycle</t>
  </si>
  <si>
    <t xml:space="preserve"> tot_tele_pyramid_exchange_cycle</t>
  </si>
  <si>
    <t xml:space="preserve"> tot_tele_unprotected_scale_cycle</t>
  </si>
  <si>
    <t xml:space="preserve"> tot_tele_unprotected_near_switch_cycle</t>
  </si>
  <si>
    <t xml:space="preserve"> tot_tele_unprotected_far_switch_cycle</t>
  </si>
  <si>
    <t xml:space="preserve"> tot_tele_unprotected_exchange_cycle</t>
  </si>
  <si>
    <t xml:space="preserve"> tot_tele_portal_scale_cycle</t>
  </si>
  <si>
    <t xml:space="preserve"> tot_tele_portal_near_switch_cycle</t>
  </si>
  <si>
    <t xml:space="preserve"> tot_tele_portal_far_switch_cycle</t>
  </si>
  <si>
    <t xml:space="preserve"> tot_tele_portal_exchange_cycle</t>
  </si>
  <si>
    <t xml:space="preserve"> tot_tele_floor_scale_cycle</t>
  </si>
  <si>
    <t xml:space="preserve"> tot_tele_floor_near_switch_cycle</t>
  </si>
  <si>
    <t xml:space="preserve"> tot_tele_floor_far_switch_cycle</t>
  </si>
  <si>
    <t xml:space="preserve"> tot_tele_floor_exchange_cycle</t>
  </si>
  <si>
    <t xml:space="preserve"> max_tele_pyramid_scale_cycle</t>
  </si>
  <si>
    <t xml:space="preserve"> max_tele_pyramid_near_switch_cycle</t>
  </si>
  <si>
    <t xml:space="preserve"> max_tele_pyramid_far_switch_cycle</t>
  </si>
  <si>
    <t xml:space="preserve"> max_tele_pyramid_exchange_cycle</t>
  </si>
  <si>
    <t xml:space="preserve"> max_tele_unprotected_scale_cycle</t>
  </si>
  <si>
    <t xml:space="preserve"> max_tele_unprotected_near_switch_cycle</t>
  </si>
  <si>
    <t xml:space="preserve"> max_tele_unprotected_far_switch_cycle</t>
  </si>
  <si>
    <t xml:space="preserve"> max_tele_unprotected_exchange_cycle</t>
  </si>
  <si>
    <t xml:space="preserve"> max_tele_portal_scale_cycle</t>
  </si>
  <si>
    <t xml:space="preserve"> max_tele_portal_near_switch_cycle</t>
  </si>
  <si>
    <t xml:space="preserve"> max_tele_portal_far_switch_cycle</t>
  </si>
  <si>
    <t xml:space="preserve"> max_tele_portal_exchange_cycle</t>
  </si>
  <si>
    <t xml:space="preserve"> max_tele_floor_scale_cycle</t>
  </si>
  <si>
    <t xml:space="preserve"> max_tele_floor_near_switch_cycle</t>
  </si>
  <si>
    <t xml:space="preserve"> max_tele_floor_far_switch_cycle</t>
  </si>
  <si>
    <t xml:space="preserve"> max_tele_floor_exchange_cycle</t>
  </si>
  <si>
    <t xml:space="preserve"> avg_driver_rating</t>
  </si>
  <si>
    <t xml:space="preserve"> avg_defense_rating</t>
  </si>
  <si>
    <t xml:space="preserve"> alliance_rating</t>
  </si>
  <si>
    <t xml:space="preserve"> Robonauts</t>
  </si>
  <si>
    <t>Climb</t>
  </si>
  <si>
    <t>Team</t>
  </si>
  <si>
    <t>Name</t>
  </si>
  <si>
    <t>MP</t>
  </si>
  <si>
    <t>Avg</t>
  </si>
  <si>
    <t>M</t>
  </si>
  <si>
    <t>%</t>
  </si>
  <si>
    <t>KO</t>
  </si>
  <si>
    <t>Cheesecake</t>
  </si>
  <si>
    <t>Auton</t>
  </si>
  <si>
    <t>L</t>
  </si>
  <si>
    <t>R</t>
  </si>
  <si>
    <t>Cross</t>
  </si>
  <si>
    <t>Switch</t>
  </si>
  <si>
    <t>Scale High</t>
  </si>
  <si>
    <t>Scale Low</t>
  </si>
  <si>
    <t>Exchange</t>
  </si>
  <si>
    <t>Cubes</t>
  </si>
  <si>
    <t>Near Switch</t>
  </si>
  <si>
    <t>Far Switch</t>
  </si>
  <si>
    <t>Intakes</t>
  </si>
  <si>
    <t>Portal</t>
  </si>
  <si>
    <t>Pyramid</t>
  </si>
  <si>
    <t>Unprotected</t>
  </si>
  <si>
    <t>Floor</t>
  </si>
  <si>
    <t>+1</t>
  </si>
  <si>
    <t>+2</t>
  </si>
  <si>
    <t>Assisted</t>
  </si>
  <si>
    <t>Park</t>
  </si>
  <si>
    <t>Scale Cycles</t>
  </si>
  <si>
    <t>N Switch Cycles</t>
  </si>
  <si>
    <t>F Switch Cycles</t>
  </si>
  <si>
    <t>Exchange Cycles</t>
  </si>
  <si>
    <t>Misc.</t>
  </si>
  <si>
    <t>Driver</t>
  </si>
  <si>
    <t>Defense</t>
  </si>
  <si>
    <t>Highest Level</t>
  </si>
  <si>
    <t>Scale Tot</t>
  </si>
  <si>
    <t>Tot Switch</t>
  </si>
  <si>
    <t>Exchange+Switch</t>
  </si>
  <si>
    <t>NP Intake</t>
  </si>
  <si>
    <t>Pyramid Exchange Cycle</t>
  </si>
  <si>
    <t>too low to lift</t>
  </si>
  <si>
    <t>high CG</t>
  </si>
  <si>
    <t>maybe too narrow</t>
  </si>
  <si>
    <t>Notes</t>
  </si>
  <si>
    <t>Sort 2</t>
  </si>
  <si>
    <t>Sort 1</t>
  </si>
  <si>
    <t>Sort #</t>
  </si>
  <si>
    <t>Final #</t>
  </si>
  <si>
    <t>Near Switch Sort</t>
  </si>
  <si>
    <t>Far Switch Sort</t>
  </si>
  <si>
    <t>Pyramid Sort</t>
  </si>
  <si>
    <t/>
  </si>
  <si>
    <t>Floor Sort</t>
  </si>
  <si>
    <t>Exchange Sort</t>
  </si>
  <si>
    <t>Auto Sort</t>
  </si>
  <si>
    <t>Blackball</t>
  </si>
  <si>
    <t>Final Final Final</t>
  </si>
  <si>
    <t>tipped</t>
  </si>
  <si>
    <t>mechanums</t>
  </si>
  <si>
    <t>broken lift in 62</t>
  </si>
  <si>
    <t>no exchange</t>
  </si>
  <si>
    <t xml:space="preserve"> CRyptonite</t>
  </si>
  <si>
    <t xml:space="preserve"> Alloy Obsession</t>
  </si>
  <si>
    <t>First Sort</t>
  </si>
  <si>
    <t>Why</t>
  </si>
  <si>
    <t>Second Sort</t>
  </si>
  <si>
    <t>Current Rank</t>
  </si>
  <si>
    <t xml:space="preserve"> avg_tele_scale_high_missed</t>
  </si>
  <si>
    <t xml:space="preserve"> avg_tele_scale_low_missed</t>
  </si>
  <si>
    <t xml:space="preserve"> avg_tele_cubes_descored</t>
  </si>
  <si>
    <t xml:space="preserve"> Quixilver</t>
  </si>
  <si>
    <t xml:space="preserve"> The Nerd Herd</t>
  </si>
  <si>
    <t xml:space="preserve"> The Midnight Mechanics</t>
  </si>
  <si>
    <t xml:space="preserve"> Oscar</t>
  </si>
  <si>
    <t xml:space="preserve"> RAWC (Robotics Alliance Of West Covina)</t>
  </si>
  <si>
    <t xml:space="preserve"> Spartan Robotics</t>
  </si>
  <si>
    <t xml:space="preserve"> CRUSH</t>
  </si>
  <si>
    <t xml:space="preserve"> Up-A-Creek Robotics</t>
  </si>
  <si>
    <t xml:space="preserve"> G3 Robotics</t>
  </si>
  <si>
    <t xml:space="preserve"> Citrus Circuits</t>
  </si>
  <si>
    <t xml:space="preserve"> Gatorbotics</t>
  </si>
  <si>
    <t xml:space="preserve"> The FBI - FIRST Bots of Independence</t>
  </si>
  <si>
    <t xml:space="preserve"> Space Cookies</t>
  </si>
  <si>
    <t xml:space="preserve"> Cougar Robotics</t>
  </si>
  <si>
    <t xml:space="preserve"> Lancer Robotics</t>
  </si>
  <si>
    <t xml:space="preserve"> Plasma Robotics</t>
  </si>
  <si>
    <t xml:space="preserve"> Blue Tide</t>
  </si>
  <si>
    <t xml:space="preserve"> Sultans of Turkiye</t>
  </si>
  <si>
    <t xml:space="preserve"> The Whidbey Island Wild Cats</t>
  </si>
  <si>
    <t xml:space="preserve"> Aluminum Narwhals</t>
  </si>
  <si>
    <t xml:space="preserve"> Flagship</t>
  </si>
  <si>
    <t xml:space="preserve"> TECBOT</t>
  </si>
  <si>
    <t xml:space="preserve"> Stealth Tigers</t>
  </si>
  <si>
    <t xml:space="preserve"> Friarbots</t>
  </si>
  <si>
    <t xml:space="preserve"> Black Hawk Robotics</t>
  </si>
  <si>
    <t xml:space="preserve"> Buluk</t>
  </si>
  <si>
    <t xml:space="preserve"> Team Sprocket</t>
  </si>
  <si>
    <t xml:space="preserve"> Bronc Botz</t>
  </si>
  <si>
    <t xml:space="preserve"> Firebots</t>
  </si>
  <si>
    <t xml:space="preserve"> Roto-Raptors</t>
  </si>
  <si>
    <t xml:space="preserve"> Pridetronics</t>
  </si>
  <si>
    <t xml:space="preserve"> SciBorgs</t>
  </si>
  <si>
    <t xml:space="preserve"> Confidential</t>
  </si>
  <si>
    <t xml:space="preserve"> Crusaders</t>
  </si>
  <si>
    <t xml:space="preserve"> Fernbank LINKS</t>
  </si>
  <si>
    <t xml:space="preserve"> Circuit Breakers</t>
  </si>
  <si>
    <t xml:space="preserve"> Red Nation Robotics</t>
  </si>
  <si>
    <t xml:space="preserve"> STING - R</t>
  </si>
  <si>
    <t xml:space="preserve"> BreakerBots</t>
  </si>
  <si>
    <t xml:space="preserve"> Robot Dolphins From Outer Space</t>
  </si>
  <si>
    <t xml:space="preserve"> The Poros</t>
  </si>
  <si>
    <t xml:space="preserve"> Phoenix</t>
  </si>
  <si>
    <t xml:space="preserve"> Ground Control</t>
  </si>
  <si>
    <t xml:space="preserve"> SOTA Cyberdragons</t>
  </si>
  <si>
    <t xml:space="preserve"> RHUMBOTZ</t>
  </si>
  <si>
    <t xml:space="preserve"> Los STEMateros</t>
  </si>
  <si>
    <t xml:space="preserve"> Joker</t>
  </si>
  <si>
    <t xml:space="preserve"> Knightling Boltz</t>
  </si>
  <si>
    <t xml:space="preserve"> Howdy Bots</t>
  </si>
  <si>
    <t xml:space="preserve"> Stealth Panther Robotics</t>
  </si>
  <si>
    <t xml:space="preserve"> Armijo Robotics</t>
  </si>
  <si>
    <t xml:space="preserve"> Hastings Heroes</t>
  </si>
  <si>
    <t xml:space="preserve"> Pymble Pride</t>
  </si>
  <si>
    <t xml:space="preserve"> Ellipse </t>
  </si>
  <si>
    <t xml:space="preserve"> Provotypes</t>
  </si>
  <si>
    <t xml:space="preserve"> QC DogSquad</t>
  </si>
  <si>
    <t xml:space="preserve"> Indians</t>
  </si>
  <si>
    <t xml:space="preserve"> Team Streak</t>
  </si>
  <si>
    <t xml:space="preserve"> XLR8</t>
  </si>
  <si>
    <t xml:space="preserve"> rOctopus</t>
  </si>
  <si>
    <t xml:space="preserve"> Project 212 Warriors Robotics</t>
  </si>
  <si>
    <t xml:space="preserve"> Templeton Secondary</t>
  </si>
  <si>
    <t xml:space="preserve"> Reach Robotics</t>
  </si>
  <si>
    <t>Center</t>
  </si>
  <si>
    <t>match</t>
  </si>
  <si>
    <t>team</t>
  </si>
  <si>
    <t>position</t>
  </si>
  <si>
    <t>made</t>
  </si>
  <si>
    <t>missed</t>
  </si>
  <si>
    <t>instances</t>
  </si>
  <si>
    <t>C Sw A</t>
  </si>
  <si>
    <t>Sw N</t>
  </si>
  <si>
    <t>Sw F</t>
  </si>
  <si>
    <t>Tot Cubes</t>
  </si>
  <si>
    <t>sum made</t>
  </si>
  <si>
    <t>avg made</t>
  </si>
  <si>
    <t>sum missed</t>
  </si>
  <si>
    <t>avg missed</t>
  </si>
  <si>
    <t>starts</t>
  </si>
  <si>
    <t>center lineup</t>
  </si>
  <si>
    <t>Tot C Sw Made</t>
  </si>
  <si>
    <t>Avg C Sw Made</t>
  </si>
  <si>
    <t>Tot C Sw Missed</t>
  </si>
  <si>
    <t>Avg C Sw Missed</t>
  </si>
  <si>
    <t>C Sw A Start</t>
  </si>
  <si>
    <t>Non-Portal</t>
  </si>
  <si>
    <t>Tech-Tiger Robotics</t>
  </si>
  <si>
    <t>Portal F Sw Time</t>
  </si>
  <si>
    <t>Pyr N Sw Time</t>
  </si>
  <si>
    <t>Pyr Ex Time</t>
  </si>
  <si>
    <t>Unp F Sw Time</t>
  </si>
  <si>
    <t>Ex</t>
  </si>
  <si>
    <t>Driver Rating</t>
  </si>
  <si>
    <t>Scale</t>
  </si>
  <si>
    <t>lousy auto</t>
  </si>
  <si>
    <t>Tot Intakes</t>
  </si>
  <si>
    <t>Third Sort</t>
  </si>
  <si>
    <t>NPortal Intake</t>
  </si>
  <si>
    <t>good auto</t>
  </si>
  <si>
    <t>Scale Factor</t>
  </si>
  <si>
    <t>*</t>
  </si>
  <si>
    <t>2 colson 4 omni</t>
  </si>
  <si>
    <t>6 colson</t>
  </si>
  <si>
    <t>4 silly 2 traction</t>
  </si>
  <si>
    <t>traction</t>
  </si>
  <si>
    <t>2 silly 4 traction</t>
  </si>
  <si>
    <t>4 traction 2 silly</t>
  </si>
  <si>
    <t>6 traction</t>
  </si>
  <si>
    <t>2 traction 4 silly</t>
  </si>
  <si>
    <t>?</t>
  </si>
  <si>
    <t>mechanum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</si>
</sst>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rgb="FFDDDDDD"/>
      </top>
      <bottom/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1">
    <xf numFmtId="0" fontId="0" fillId="0" borderId="0" xfId="0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0" xfId="0" applyFill="1" applyBorder="1"/>
    <xf numFmtId="0" fontId="0" fillId="35" borderId="11" xfId="0" applyFill="1" applyBorder="1"/>
    <xf numFmtId="0" fontId="0" fillId="35" borderId="12" xfId="0" applyFill="1" applyBorder="1"/>
    <xf numFmtId="0" fontId="0" fillId="36" borderId="10" xfId="0" applyFill="1" applyBorder="1"/>
    <xf numFmtId="0" fontId="0" fillId="36" borderId="11" xfId="0" applyFill="1" applyBorder="1"/>
    <xf numFmtId="0" fontId="0" fillId="34" borderId="10" xfId="0" applyFill="1" applyBorder="1"/>
    <xf numFmtId="0" fontId="0" fillId="33" borderId="13" xfId="0" applyFill="1" applyBorder="1"/>
    <xf numFmtId="0" fontId="0" fillId="33" borderId="0" xfId="0" applyFill="1" applyBorder="1"/>
    <xf numFmtId="0" fontId="0" fillId="33" borderId="14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5" borderId="13" xfId="0" applyFill="1" applyBorder="1"/>
    <xf numFmtId="0" fontId="0" fillId="35" borderId="0" xfId="0" applyFill="1" applyBorder="1"/>
    <xf numFmtId="0" fontId="0" fillId="35" borderId="14" xfId="0" applyFill="1" applyBorder="1"/>
    <xf numFmtId="0" fontId="0" fillId="36" borderId="13" xfId="0" applyFill="1" applyBorder="1"/>
    <xf numFmtId="0" fontId="0" fillId="36" borderId="0" xfId="0" applyFill="1" applyBorder="1"/>
    <xf numFmtId="0" fontId="0" fillId="34" borderId="13" xfId="0" applyFill="1" applyBorder="1"/>
    <xf numFmtId="0" fontId="0" fillId="36" borderId="0" xfId="0" applyFill="1"/>
    <xf numFmtId="0" fontId="0" fillId="37" borderId="10" xfId="0" applyFill="1" applyBorder="1"/>
    <xf numFmtId="0" fontId="0" fillId="37" borderId="11" xfId="0" applyFill="1" applyBorder="1"/>
    <xf numFmtId="0" fontId="0" fillId="37" borderId="13" xfId="0" applyFill="1" applyBorder="1"/>
    <xf numFmtId="0" fontId="0" fillId="37" borderId="0" xfId="0" applyFill="1" applyBorder="1"/>
    <xf numFmtId="0" fontId="0" fillId="37" borderId="0" xfId="0" applyFill="1"/>
    <xf numFmtId="0" fontId="0" fillId="34" borderId="0" xfId="0" applyFill="1"/>
    <xf numFmtId="0" fontId="0" fillId="35" borderId="0" xfId="0" applyFill="1"/>
    <xf numFmtId="0" fontId="0" fillId="33" borderId="0" xfId="0" applyFill="1"/>
    <xf numFmtId="0" fontId="0" fillId="0" borderId="0" xfId="0" applyFill="1" applyBorder="1"/>
    <xf numFmtId="0" fontId="18" fillId="39" borderId="15" xfId="0" applyFont="1" applyFill="1" applyBorder="1" applyAlignment="1">
      <alignment horizontal="left" vertical="top" wrapText="1"/>
    </xf>
    <xf numFmtId="0" fontId="19" fillId="38" borderId="15" xfId="0" applyFont="1" applyFill="1" applyBorder="1" applyAlignment="1">
      <alignment vertical="top" wrapText="1"/>
    </xf>
    <xf numFmtId="0" fontId="19" fillId="39" borderId="15" xfId="0" applyFont="1" applyFill="1" applyBorder="1" applyAlignment="1">
      <alignment vertical="top" wrapText="1"/>
    </xf>
    <xf numFmtId="0" fontId="18" fillId="39" borderId="0" xfId="0" applyFont="1" applyFill="1" applyBorder="1" applyAlignment="1">
      <alignment horizontal="left" vertical="top" wrapText="1"/>
    </xf>
    <xf numFmtId="0" fontId="19" fillId="38" borderId="0" xfId="0" applyFont="1" applyFill="1" applyBorder="1" applyAlignment="1">
      <alignment vertical="top" wrapText="1"/>
    </xf>
    <xf numFmtId="0" fontId="19" fillId="39" borderId="0" xfId="0" applyFont="1" applyFill="1" applyBorder="1" applyAlignment="1">
      <alignment vertical="top" wrapText="1"/>
    </xf>
    <xf numFmtId="0" fontId="0" fillId="0" borderId="0" xfId="0"/>
    <xf numFmtId="0" fontId="0" fillId="40" borderId="0" xfId="0" applyFill="1"/>
    <xf numFmtId="0" fontId="0" fillId="0" borderId="15" xfId="0" applyBorder="1"/>
    <xf numFmtId="0" fontId="0" fillId="0" borderId="0" xfId="0" applyAlignment="1">
      <alignment wrapText="1"/>
    </xf>
    <xf numFmtId="0" fontId="0" fillId="33" borderId="13" xfId="0" applyFill="1" applyBorder="1" applyAlignment="1">
      <alignment wrapText="1"/>
    </xf>
    <xf numFmtId="0" fontId="0" fillId="33" borderId="0" xfId="0" applyFill="1" applyBorder="1" applyAlignment="1">
      <alignment wrapText="1"/>
    </xf>
    <xf numFmtId="0" fontId="0" fillId="34" borderId="13" xfId="0" applyFill="1" applyBorder="1" applyAlignment="1">
      <alignment wrapText="1"/>
    </xf>
    <xf numFmtId="0" fontId="0" fillId="34" borderId="0" xfId="0" applyFill="1" applyBorder="1" applyAlignment="1">
      <alignment wrapText="1"/>
    </xf>
    <xf numFmtId="0" fontId="0" fillId="34" borderId="14" xfId="0" applyFill="1" applyBorder="1" applyAlignment="1">
      <alignment wrapText="1"/>
    </xf>
    <xf numFmtId="0" fontId="0" fillId="37" borderId="13" xfId="0" applyFill="1" applyBorder="1" applyAlignment="1">
      <alignment wrapText="1"/>
    </xf>
    <xf numFmtId="0" fontId="0" fillId="37" borderId="0" xfId="0" applyFill="1" applyBorder="1" applyAlignment="1">
      <alignment wrapText="1"/>
    </xf>
    <xf numFmtId="0" fontId="0" fillId="35" borderId="13" xfId="0" applyFill="1" applyBorder="1" applyAlignment="1">
      <alignment wrapText="1"/>
    </xf>
    <xf numFmtId="0" fontId="0" fillId="35" borderId="0" xfId="0" quotePrefix="1" applyFill="1" applyBorder="1" applyAlignment="1">
      <alignment wrapText="1"/>
    </xf>
    <xf numFmtId="0" fontId="0" fillId="35" borderId="0" xfId="0" applyFill="1" applyBorder="1" applyAlignment="1">
      <alignment wrapText="1"/>
    </xf>
    <xf numFmtId="0" fontId="0" fillId="35" borderId="14" xfId="0" applyFill="1" applyBorder="1" applyAlignment="1">
      <alignment wrapText="1"/>
    </xf>
    <xf numFmtId="0" fontId="0" fillId="36" borderId="13" xfId="0" applyFill="1" applyBorder="1" applyAlignment="1">
      <alignment wrapText="1"/>
    </xf>
    <xf numFmtId="0" fontId="0" fillId="36" borderId="0" xfId="0" applyFill="1" applyBorder="1" applyAlignment="1">
      <alignment wrapText="1"/>
    </xf>
    <xf numFmtId="0" fontId="0" fillId="33" borderId="14" xfId="0" applyFill="1" applyBorder="1" applyAlignment="1">
      <alignment wrapText="1"/>
    </xf>
    <xf numFmtId="0" fontId="0" fillId="41" borderId="0" xfId="0" applyFill="1"/>
    <xf numFmtId="0" fontId="0" fillId="41" borderId="0" xfId="0" applyFill="1" applyAlignment="1">
      <alignment wrapText="1"/>
    </xf>
    <xf numFmtId="0" fontId="0" fillId="42" borderId="0" xfId="0" applyFill="1"/>
    <xf numFmtId="0" fontId="0" fillId="42" borderId="0" xfId="0" applyFill="1" applyAlignment="1">
      <alignment wrapText="1"/>
    </xf>
    <xf numFmtId="0" fontId="0" fillId="43" borderId="0" xfId="0" applyFill="1"/>
    <xf numFmtId="0" fontId="0" fillId="43" borderId="0" xfId="0" applyFill="1" applyAlignment="1">
      <alignment wrapText="1"/>
    </xf>
    <xf numFmtId="0" fontId="0" fillId="0" borderId="16" xfId="0" applyBorder="1"/>
    <xf numFmtId="0" fontId="0" fillId="41" borderId="16" xfId="0" applyFill="1" applyBorder="1"/>
    <xf numFmtId="0" fontId="0" fillId="42" borderId="16" xfId="0" applyFill="1" applyBorder="1"/>
    <xf numFmtId="0" fontId="0" fillId="43" borderId="16" xfId="0" applyFill="1" applyBorder="1"/>
    <xf numFmtId="0" fontId="0" fillId="0" borderId="0" xfId="0" applyBorder="1"/>
    <xf numFmtId="0" fontId="0" fillId="41" borderId="0" xfId="0" applyFill="1" applyBorder="1"/>
    <xf numFmtId="0" fontId="0" fillId="42" borderId="0" xfId="0" applyFill="1" applyBorder="1"/>
    <xf numFmtId="0" fontId="0" fillId="43" borderId="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P68"/>
  <sheetViews>
    <sheetView topLeftCell="CV1" workbookViewId="0">
      <selection activeCell="B11" sqref="B11"/>
    </sheetView>
  </sheetViews>
  <sheetFormatPr defaultRowHeight="15" x14ac:dyDescent="0.25"/>
  <cols>
    <col min="1" max="1" width="10.5703125" bestFit="1" customWidth="1"/>
    <col min="2" max="2" width="33" bestFit="1" customWidth="1"/>
    <col min="3" max="3" width="14" bestFit="1" customWidth="1"/>
    <col min="4" max="4" width="13.28515625" bestFit="1" customWidth="1"/>
    <col min="5" max="5" width="15.85546875" bestFit="1" customWidth="1"/>
    <col min="6" max="6" width="14.28515625" bestFit="1" customWidth="1"/>
    <col min="7" max="7" width="14.5703125" bestFit="1" customWidth="1"/>
    <col min="8" max="8" width="24.28515625" bestFit="1" customWidth="1"/>
    <col min="9" max="9" width="24.7109375" bestFit="1" customWidth="1"/>
    <col min="10" max="10" width="28.140625" bestFit="1" customWidth="1"/>
    <col min="11" max="12" width="28.5703125" bestFit="1" customWidth="1"/>
    <col min="13" max="13" width="27.7109375" bestFit="1" customWidth="1"/>
    <col min="14" max="14" width="30.85546875" bestFit="1" customWidth="1"/>
    <col min="15" max="15" width="27.28515625" bestFit="1" customWidth="1"/>
    <col min="16" max="16" width="30.42578125" bestFit="1" customWidth="1"/>
    <col min="17" max="17" width="27.140625" bestFit="1" customWidth="1"/>
    <col min="18" max="18" width="26.28515625" bestFit="1" customWidth="1"/>
    <col min="19" max="19" width="29.28515625" bestFit="1" customWidth="1"/>
    <col min="20" max="20" width="25.85546875" bestFit="1" customWidth="1"/>
    <col min="21" max="21" width="28.85546875" bestFit="1" customWidth="1"/>
    <col min="22" max="22" width="26.5703125" bestFit="1" customWidth="1"/>
    <col min="23" max="23" width="25.7109375" bestFit="1" customWidth="1"/>
    <col min="24" max="24" width="28.7109375" bestFit="1" customWidth="1"/>
    <col min="25" max="25" width="25.140625" bestFit="1" customWidth="1"/>
    <col min="26" max="26" width="28.28515625" bestFit="1" customWidth="1"/>
    <col min="27" max="27" width="26.28515625" bestFit="1" customWidth="1"/>
    <col min="28" max="28" width="25.28515625" bestFit="1" customWidth="1"/>
    <col min="29" max="29" width="28.42578125" bestFit="1" customWidth="1"/>
    <col min="30" max="30" width="24.85546875" bestFit="1" customWidth="1"/>
    <col min="31" max="31" width="28" bestFit="1" customWidth="1"/>
    <col min="32" max="32" width="15.28515625" bestFit="1" customWidth="1"/>
    <col min="33" max="33" width="15.7109375" bestFit="1" customWidth="1"/>
    <col min="34" max="34" width="16.42578125" bestFit="1" customWidth="1"/>
    <col min="35" max="35" width="20.7109375" bestFit="1" customWidth="1"/>
    <col min="36" max="36" width="21.140625" bestFit="1" customWidth="1"/>
    <col min="37" max="37" width="29.28515625" bestFit="1" customWidth="1"/>
    <col min="38" max="38" width="28.42578125" bestFit="1" customWidth="1"/>
    <col min="39" max="39" width="31.5703125" bestFit="1" customWidth="1"/>
    <col min="40" max="40" width="28" bestFit="1" customWidth="1"/>
    <col min="41" max="41" width="31.140625" bestFit="1" customWidth="1"/>
    <col min="42" max="42" width="23.85546875" bestFit="1" customWidth="1"/>
    <col min="43" max="43" width="24.28515625" bestFit="1" customWidth="1"/>
    <col min="44" max="44" width="27.7109375" bestFit="1" customWidth="1"/>
    <col min="45" max="46" width="28.140625" bestFit="1" customWidth="1"/>
    <col min="47" max="47" width="27.28515625" bestFit="1" customWidth="1"/>
    <col min="48" max="48" width="30.42578125" bestFit="1" customWidth="1"/>
    <col min="49" max="49" width="26.85546875" bestFit="1" customWidth="1"/>
    <col min="50" max="50" width="30" bestFit="1" customWidth="1"/>
    <col min="51" max="51" width="26.5703125" bestFit="1" customWidth="1"/>
    <col min="52" max="52" width="25.7109375" bestFit="1" customWidth="1"/>
    <col min="53" max="53" width="28.7109375" bestFit="1" customWidth="1"/>
    <col min="54" max="54" width="25.140625" bestFit="1" customWidth="1"/>
    <col min="55" max="55" width="28.28515625" bestFit="1" customWidth="1"/>
    <col min="56" max="56" width="26.7109375" bestFit="1" customWidth="1"/>
    <col min="57" max="57" width="25.85546875" bestFit="1" customWidth="1"/>
    <col min="58" max="58" width="28.85546875" bestFit="1" customWidth="1"/>
    <col min="59" max="59" width="25.28515625" bestFit="1" customWidth="1"/>
    <col min="60" max="60" width="28.42578125" bestFit="1" customWidth="1"/>
    <col min="61" max="61" width="26.140625" bestFit="1" customWidth="1"/>
    <col min="62" max="62" width="25.140625" bestFit="1" customWidth="1"/>
    <col min="63" max="63" width="28.28515625" bestFit="1" customWidth="1"/>
    <col min="64" max="64" width="24.7109375" bestFit="1" customWidth="1"/>
    <col min="65" max="65" width="27.85546875" bestFit="1" customWidth="1"/>
    <col min="66" max="66" width="25.85546875" bestFit="1" customWidth="1"/>
    <col min="67" max="67" width="24.85546875" bestFit="1" customWidth="1"/>
    <col min="68" max="68" width="28" bestFit="1" customWidth="1"/>
    <col min="69" max="69" width="24.42578125" bestFit="1" customWidth="1"/>
    <col min="70" max="70" width="27.5703125" bestFit="1" customWidth="1"/>
    <col min="71" max="71" width="22" bestFit="1" customWidth="1"/>
    <col min="72" max="72" width="22.42578125" bestFit="1" customWidth="1"/>
    <col min="73" max="73" width="23.140625" bestFit="1" customWidth="1"/>
    <col min="74" max="74" width="18.85546875" bestFit="1" customWidth="1"/>
    <col min="75" max="75" width="19.28515625" bestFit="1" customWidth="1"/>
    <col min="76" max="76" width="23.7109375" bestFit="1" customWidth="1"/>
    <col min="77" max="77" width="24.140625" bestFit="1" customWidth="1"/>
    <col min="78" max="78" width="23.140625" bestFit="1" customWidth="1"/>
    <col min="79" max="79" width="22" bestFit="1" customWidth="1"/>
    <col min="80" max="80" width="16.140625" bestFit="1" customWidth="1"/>
    <col min="81" max="81" width="15.85546875" bestFit="1" customWidth="1"/>
    <col min="82" max="82" width="14.5703125" bestFit="1" customWidth="1"/>
    <col min="83" max="83" width="23.85546875" bestFit="1" customWidth="1"/>
    <col min="84" max="84" width="19.28515625" bestFit="1" customWidth="1"/>
    <col min="85" max="85" width="18" bestFit="1" customWidth="1"/>
    <col min="86" max="86" width="27.28515625" bestFit="1" customWidth="1"/>
    <col min="87" max="87" width="19.28515625" bestFit="1" customWidth="1"/>
    <col min="88" max="88" width="18" bestFit="1" customWidth="1"/>
    <col min="89" max="89" width="27.28515625" bestFit="1" customWidth="1"/>
    <col min="90" max="90" width="23" bestFit="1" customWidth="1"/>
    <col min="91" max="91" width="17.5703125" bestFit="1" customWidth="1"/>
    <col min="92" max="92" width="28.7109375" bestFit="1" customWidth="1"/>
    <col min="93" max="93" width="35.28515625" bestFit="1" customWidth="1"/>
    <col min="94" max="94" width="33.5703125" bestFit="1" customWidth="1"/>
    <col min="95" max="95" width="32.85546875" bestFit="1" customWidth="1"/>
    <col min="96" max="96" width="32.5703125" bestFit="1" customWidth="1"/>
    <col min="97" max="97" width="39.140625" bestFit="1" customWidth="1"/>
    <col min="98" max="98" width="37.42578125" bestFit="1" customWidth="1"/>
    <col min="99" max="99" width="36.7109375" bestFit="1" customWidth="1"/>
    <col min="100" max="100" width="26.7109375" bestFit="1" customWidth="1"/>
    <col min="101" max="101" width="33.140625" bestFit="1" customWidth="1"/>
    <col min="102" max="102" width="31.5703125" bestFit="1" customWidth="1"/>
    <col min="103" max="103" width="30.85546875" bestFit="1" customWidth="1"/>
    <col min="104" max="104" width="25.7109375" bestFit="1" customWidth="1"/>
    <col min="105" max="105" width="32.140625" bestFit="1" customWidth="1"/>
    <col min="106" max="106" width="30.5703125" bestFit="1" customWidth="1"/>
    <col min="107" max="107" width="29.85546875" bestFit="1" customWidth="1"/>
    <col min="108" max="108" width="28.28515625" bestFit="1" customWidth="1"/>
    <col min="109" max="109" width="34.85546875" bestFit="1" customWidth="1"/>
    <col min="110" max="110" width="33.140625" bestFit="1" customWidth="1"/>
    <col min="111" max="111" width="32.42578125" bestFit="1" customWidth="1"/>
    <col min="112" max="112" width="32.140625" bestFit="1" customWidth="1"/>
    <col min="113" max="113" width="38.7109375" bestFit="1" customWidth="1"/>
    <col min="114" max="114" width="37" bestFit="1" customWidth="1"/>
    <col min="115" max="115" width="36.28515625" bestFit="1" customWidth="1"/>
    <col min="116" max="116" width="26.28515625" bestFit="1" customWidth="1"/>
    <col min="117" max="117" width="32.7109375" bestFit="1" customWidth="1"/>
    <col min="118" max="118" width="31.140625" bestFit="1" customWidth="1"/>
    <col min="119" max="119" width="30.42578125" bestFit="1" customWidth="1"/>
    <col min="120" max="120" width="25.140625" bestFit="1" customWidth="1"/>
    <col min="121" max="121" width="31.7109375" bestFit="1" customWidth="1"/>
    <col min="122" max="122" width="30.140625" bestFit="1" customWidth="1"/>
    <col min="123" max="123" width="29.28515625" bestFit="1" customWidth="1"/>
    <col min="124" max="124" width="29.42578125" bestFit="1" customWidth="1"/>
    <col min="125" max="125" width="36" bestFit="1" customWidth="1"/>
    <col min="126" max="126" width="34.42578125" bestFit="1" customWidth="1"/>
    <col min="127" max="127" width="33.5703125" bestFit="1" customWidth="1"/>
    <col min="128" max="128" width="33.28515625" bestFit="1" customWidth="1"/>
    <col min="129" max="129" width="39.85546875" bestFit="1" customWidth="1"/>
    <col min="130" max="130" width="38.28515625" bestFit="1" customWidth="1"/>
    <col min="131" max="131" width="37.42578125" bestFit="1" customWidth="1"/>
    <col min="132" max="132" width="27.42578125" bestFit="1" customWidth="1"/>
    <col min="133" max="133" width="34" bestFit="1" customWidth="1"/>
    <col min="134" max="134" width="32.28515625" bestFit="1" customWidth="1"/>
    <col min="135" max="135" width="31.5703125" bestFit="1" customWidth="1"/>
    <col min="136" max="136" width="26.42578125" bestFit="1" customWidth="1"/>
    <col min="137" max="137" width="32.85546875" bestFit="1" customWidth="1"/>
    <col min="138" max="138" width="31.28515625" bestFit="1" customWidth="1"/>
    <col min="139" max="139" width="30.5703125" bestFit="1" customWidth="1"/>
    <col min="140" max="140" width="17" bestFit="1" customWidth="1"/>
    <col min="141" max="141" width="19.140625" bestFit="1" customWidth="1"/>
    <col min="142" max="142" width="14.5703125" bestFit="1" customWidth="1"/>
  </cols>
  <sheetData>
    <row r="1" spans="1:146" x14ac:dyDescent="0.25">
      <c r="A1" s="39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39" t="s">
        <v>7</v>
      </c>
      <c r="I1" s="39" t="s">
        <v>8</v>
      </c>
      <c r="J1" s="39" t="s">
        <v>9</v>
      </c>
      <c r="K1" s="39" t="s">
        <v>10</v>
      </c>
      <c r="L1" s="39" t="s">
        <v>11</v>
      </c>
      <c r="M1" s="39" t="s">
        <v>12</v>
      </c>
      <c r="N1" s="39" t="s">
        <v>13</v>
      </c>
      <c r="O1" s="39" t="s">
        <v>14</v>
      </c>
      <c r="P1" s="39" t="s">
        <v>15</v>
      </c>
      <c r="Q1" s="39" t="s">
        <v>16</v>
      </c>
      <c r="R1" s="39" t="s">
        <v>17</v>
      </c>
      <c r="S1" s="39" t="s">
        <v>18</v>
      </c>
      <c r="T1" s="39" t="s">
        <v>19</v>
      </c>
      <c r="U1" s="39" t="s">
        <v>20</v>
      </c>
      <c r="V1" s="39" t="s">
        <v>212</v>
      </c>
      <c r="W1" s="39" t="s">
        <v>21</v>
      </c>
      <c r="X1" s="39" t="s">
        <v>22</v>
      </c>
      <c r="Y1" s="39" t="s">
        <v>23</v>
      </c>
      <c r="Z1" s="39" t="s">
        <v>24</v>
      </c>
      <c r="AA1" s="39" t="s">
        <v>25</v>
      </c>
      <c r="AB1" s="39" t="s">
        <v>213</v>
      </c>
      <c r="AC1" s="39" t="s">
        <v>26</v>
      </c>
      <c r="AD1" s="39" t="s">
        <v>27</v>
      </c>
      <c r="AE1" s="39" t="s">
        <v>28</v>
      </c>
      <c r="AF1" s="39" t="s">
        <v>29</v>
      </c>
      <c r="AG1" s="39" t="s">
        <v>30</v>
      </c>
      <c r="AH1" s="39" t="s">
        <v>31</v>
      </c>
      <c r="AI1" s="39" t="s">
        <v>32</v>
      </c>
      <c r="AJ1" s="39" t="s">
        <v>33</v>
      </c>
      <c r="AK1" s="39" t="s">
        <v>34</v>
      </c>
      <c r="AL1" s="39" t="s">
        <v>35</v>
      </c>
      <c r="AM1" s="39" t="s">
        <v>36</v>
      </c>
      <c r="AN1" s="39" t="s">
        <v>37</v>
      </c>
      <c r="AO1" s="39" t="s">
        <v>38</v>
      </c>
      <c r="AP1" s="39" t="s">
        <v>39</v>
      </c>
      <c r="AQ1" s="39" t="s">
        <v>40</v>
      </c>
      <c r="AR1" s="39" t="s">
        <v>41</v>
      </c>
      <c r="AS1" s="39" t="s">
        <v>42</v>
      </c>
      <c r="AT1" s="39" t="s">
        <v>43</v>
      </c>
      <c r="AU1" s="39" t="s">
        <v>44</v>
      </c>
      <c r="AV1" s="39" t="s">
        <v>45</v>
      </c>
      <c r="AW1" s="39" t="s">
        <v>46</v>
      </c>
      <c r="AX1" s="39" t="s">
        <v>47</v>
      </c>
      <c r="AY1" s="39" t="s">
        <v>48</v>
      </c>
      <c r="AZ1" s="39" t="s">
        <v>49</v>
      </c>
      <c r="BA1" s="39" t="s">
        <v>50</v>
      </c>
      <c r="BB1" s="39" t="s">
        <v>51</v>
      </c>
      <c r="BC1" s="39" t="s">
        <v>52</v>
      </c>
      <c r="BD1" s="39" t="s">
        <v>53</v>
      </c>
      <c r="BE1" s="39" t="s">
        <v>54</v>
      </c>
      <c r="BF1" s="39" t="s">
        <v>55</v>
      </c>
      <c r="BG1" s="39" t="s">
        <v>56</v>
      </c>
      <c r="BH1" s="39" t="s">
        <v>57</v>
      </c>
      <c r="BI1" s="39" t="s">
        <v>58</v>
      </c>
      <c r="BJ1" s="39" t="s">
        <v>59</v>
      </c>
      <c r="BK1" s="39" t="s">
        <v>60</v>
      </c>
      <c r="BL1" s="39" t="s">
        <v>61</v>
      </c>
      <c r="BM1" s="39" t="s">
        <v>62</v>
      </c>
      <c r="BN1" s="39" t="s">
        <v>63</v>
      </c>
      <c r="BO1" s="39" t="s">
        <v>64</v>
      </c>
      <c r="BP1" s="39" t="s">
        <v>65</v>
      </c>
      <c r="BQ1" s="39" t="s">
        <v>66</v>
      </c>
      <c r="BR1" s="39" t="s">
        <v>67</v>
      </c>
      <c r="BS1" s="39" t="s">
        <v>68</v>
      </c>
      <c r="BT1" s="39" t="s">
        <v>69</v>
      </c>
      <c r="BU1" s="39" t="s">
        <v>70</v>
      </c>
      <c r="BV1" s="39" t="s">
        <v>71</v>
      </c>
      <c r="BW1" s="39" t="s">
        <v>72</v>
      </c>
      <c r="BX1" s="39" t="s">
        <v>73</v>
      </c>
      <c r="BY1" s="39" t="s">
        <v>74</v>
      </c>
      <c r="BZ1" s="39" t="s">
        <v>214</v>
      </c>
      <c r="CA1" s="39" t="s">
        <v>75</v>
      </c>
      <c r="CB1" s="39" t="s">
        <v>76</v>
      </c>
      <c r="CC1" s="39" t="s">
        <v>77</v>
      </c>
      <c r="CD1" s="39" t="s">
        <v>78</v>
      </c>
      <c r="CE1" s="39" t="s">
        <v>79</v>
      </c>
      <c r="CF1" s="39" t="s">
        <v>80</v>
      </c>
      <c r="CG1" s="39" t="s">
        <v>81</v>
      </c>
      <c r="CH1" s="39" t="s">
        <v>82</v>
      </c>
      <c r="CI1" s="39" t="s">
        <v>83</v>
      </c>
      <c r="CJ1" s="39" t="s">
        <v>84</v>
      </c>
      <c r="CK1" s="39" t="s">
        <v>85</v>
      </c>
      <c r="CL1" s="39" t="s">
        <v>86</v>
      </c>
      <c r="CM1" s="39" t="s">
        <v>87</v>
      </c>
      <c r="CN1" s="39" t="s">
        <v>88</v>
      </c>
      <c r="CO1" s="39" t="s">
        <v>89</v>
      </c>
      <c r="CP1" s="39" t="s">
        <v>90</v>
      </c>
      <c r="CQ1" s="39" t="s">
        <v>91</v>
      </c>
      <c r="CR1" s="39" t="s">
        <v>92</v>
      </c>
      <c r="CS1" s="39" t="s">
        <v>93</v>
      </c>
      <c r="CT1" s="39" t="s">
        <v>94</v>
      </c>
      <c r="CU1" s="39" t="s">
        <v>95</v>
      </c>
      <c r="CV1" s="39" t="s">
        <v>96</v>
      </c>
      <c r="CW1" s="39" t="s">
        <v>97</v>
      </c>
      <c r="CX1" s="39" t="s">
        <v>98</v>
      </c>
      <c r="CY1" s="39" t="s">
        <v>99</v>
      </c>
      <c r="CZ1" s="39" t="s">
        <v>100</v>
      </c>
      <c r="DA1" s="39" t="s">
        <v>101</v>
      </c>
      <c r="DB1" s="39" t="s">
        <v>102</v>
      </c>
      <c r="DC1" s="39" t="s">
        <v>103</v>
      </c>
      <c r="DD1" s="39" t="s">
        <v>104</v>
      </c>
      <c r="DE1" s="39" t="s">
        <v>105</v>
      </c>
      <c r="DF1" s="39" t="s">
        <v>106</v>
      </c>
      <c r="DG1" s="39" t="s">
        <v>107</v>
      </c>
      <c r="DH1" s="39" t="s">
        <v>108</v>
      </c>
      <c r="DI1" s="39" t="s">
        <v>109</v>
      </c>
      <c r="DJ1" s="39" t="s">
        <v>110</v>
      </c>
      <c r="DK1" s="39" t="s">
        <v>111</v>
      </c>
      <c r="DL1" s="39" t="s">
        <v>112</v>
      </c>
      <c r="DM1" s="39" t="s">
        <v>113</v>
      </c>
      <c r="DN1" s="39" t="s">
        <v>114</v>
      </c>
      <c r="DO1" s="39" t="s">
        <v>115</v>
      </c>
      <c r="DP1" s="39" t="s">
        <v>116</v>
      </c>
      <c r="DQ1" s="39" t="s">
        <v>117</v>
      </c>
      <c r="DR1" s="39" t="s">
        <v>118</v>
      </c>
      <c r="DS1" s="39" t="s">
        <v>119</v>
      </c>
      <c r="DT1" s="39" t="s">
        <v>120</v>
      </c>
      <c r="DU1" s="39" t="s">
        <v>121</v>
      </c>
      <c r="DV1" s="39" t="s">
        <v>122</v>
      </c>
      <c r="DW1" s="39" t="s">
        <v>123</v>
      </c>
      <c r="DX1" s="39" t="s">
        <v>124</v>
      </c>
      <c r="DY1" s="39" t="s">
        <v>125</v>
      </c>
      <c r="DZ1" s="39" t="s">
        <v>126</v>
      </c>
      <c r="EA1" s="39" t="s">
        <v>127</v>
      </c>
      <c r="EB1" s="39" t="s">
        <v>128</v>
      </c>
      <c r="EC1" s="39" t="s">
        <v>129</v>
      </c>
      <c r="ED1" s="39" t="s">
        <v>130</v>
      </c>
      <c r="EE1" s="39" t="s">
        <v>131</v>
      </c>
      <c r="EF1" s="39" t="s">
        <v>132</v>
      </c>
      <c r="EG1" s="39" t="s">
        <v>133</v>
      </c>
      <c r="EH1" s="39" t="s">
        <v>134</v>
      </c>
      <c r="EI1" s="39" t="s">
        <v>135</v>
      </c>
      <c r="EJ1" s="39" t="s">
        <v>136</v>
      </c>
      <c r="EK1" s="39" t="s">
        <v>137</v>
      </c>
      <c r="EL1" s="39" t="s">
        <v>138</v>
      </c>
      <c r="EM1" s="39" t="s">
        <v>139</v>
      </c>
      <c r="EN1" s="39" t="s">
        <v>140</v>
      </c>
      <c r="EO1" s="39" t="s">
        <v>141</v>
      </c>
      <c r="EP1" s="39"/>
    </row>
    <row r="2" spans="1:146" x14ac:dyDescent="0.25">
      <c r="A2" s="39">
        <v>118</v>
      </c>
      <c r="B2" s="39" t="s">
        <v>142</v>
      </c>
      <c r="C2" s="39">
        <v>10</v>
      </c>
      <c r="D2" s="39">
        <v>1</v>
      </c>
      <c r="E2" s="39">
        <v>5</v>
      </c>
      <c r="F2" s="39">
        <v>4</v>
      </c>
      <c r="G2" s="39">
        <v>9</v>
      </c>
      <c r="H2" s="39">
        <v>2</v>
      </c>
      <c r="I2" s="39">
        <v>0.2</v>
      </c>
      <c r="J2" s="39">
        <v>11</v>
      </c>
      <c r="K2" s="39">
        <v>1.1000000000000001</v>
      </c>
      <c r="L2" s="39">
        <v>100</v>
      </c>
      <c r="M2" s="39">
        <v>0.4</v>
      </c>
      <c r="N2" s="39">
        <v>0.4</v>
      </c>
      <c r="O2" s="39">
        <v>4</v>
      </c>
      <c r="P2" s="39">
        <v>4</v>
      </c>
      <c r="Q2" s="39">
        <v>82.352999999999994</v>
      </c>
      <c r="R2" s="39">
        <v>1.4</v>
      </c>
      <c r="S2" s="39">
        <v>1.7</v>
      </c>
      <c r="T2" s="39">
        <v>14</v>
      </c>
      <c r="U2" s="39">
        <v>17</v>
      </c>
      <c r="V2" s="39">
        <v>0</v>
      </c>
      <c r="W2" s="39">
        <v>0</v>
      </c>
      <c r="X2" s="39">
        <v>0</v>
      </c>
      <c r="Y2" s="39">
        <v>0</v>
      </c>
      <c r="Z2" s="39">
        <v>0</v>
      </c>
      <c r="AA2" s="39">
        <v>0</v>
      </c>
      <c r="AB2" s="39">
        <v>0.9</v>
      </c>
      <c r="AC2" s="39">
        <v>0</v>
      </c>
      <c r="AD2" s="39">
        <v>0</v>
      </c>
      <c r="AE2" s="39">
        <v>0</v>
      </c>
      <c r="AF2" s="39">
        <v>0</v>
      </c>
      <c r="AG2" s="39">
        <v>0</v>
      </c>
      <c r="AH2" s="39">
        <v>67</v>
      </c>
      <c r="AI2" s="39">
        <v>6.7</v>
      </c>
      <c r="AJ2" s="39">
        <v>10</v>
      </c>
      <c r="AK2" s="39">
        <v>25</v>
      </c>
      <c r="AL2" s="39">
        <v>2.5</v>
      </c>
      <c r="AM2" s="39">
        <v>0</v>
      </c>
      <c r="AN2" s="39">
        <v>0</v>
      </c>
      <c r="AO2" s="39">
        <v>0</v>
      </c>
      <c r="AP2" s="39">
        <v>0</v>
      </c>
      <c r="AQ2" s="39">
        <v>0</v>
      </c>
      <c r="AR2" s="39">
        <v>18</v>
      </c>
      <c r="AS2" s="39">
        <v>1.8</v>
      </c>
      <c r="AT2" s="39">
        <v>24</v>
      </c>
      <c r="AU2" s="39">
        <v>2.4</v>
      </c>
      <c r="AV2" s="39">
        <v>100</v>
      </c>
      <c r="AW2" s="39">
        <v>0.1</v>
      </c>
      <c r="AX2" s="39">
        <v>0.1</v>
      </c>
      <c r="AY2" s="39">
        <v>1</v>
      </c>
      <c r="AZ2" s="39">
        <v>1</v>
      </c>
      <c r="BA2" s="39">
        <v>88.888999999999996</v>
      </c>
      <c r="BB2" s="39">
        <v>0.8</v>
      </c>
      <c r="BC2" s="39">
        <v>0.9</v>
      </c>
      <c r="BD2" s="39">
        <v>8</v>
      </c>
      <c r="BE2" s="39">
        <v>9</v>
      </c>
      <c r="BF2" s="39">
        <v>100</v>
      </c>
      <c r="BG2" s="39">
        <v>0.5</v>
      </c>
      <c r="BH2" s="39">
        <v>0.5</v>
      </c>
      <c r="BI2" s="39">
        <v>5</v>
      </c>
      <c r="BJ2" s="39">
        <v>5</v>
      </c>
      <c r="BK2" s="39">
        <v>76.316000000000003</v>
      </c>
      <c r="BL2" s="39">
        <v>2.9</v>
      </c>
      <c r="BM2" s="39">
        <v>3.8</v>
      </c>
      <c r="BN2" s="39">
        <v>29</v>
      </c>
      <c r="BO2" s="39">
        <v>38</v>
      </c>
      <c r="BP2" s="39">
        <v>100</v>
      </c>
      <c r="BQ2" s="39">
        <v>0.8</v>
      </c>
      <c r="BR2" s="39">
        <v>0.8</v>
      </c>
      <c r="BS2" s="39">
        <v>8</v>
      </c>
      <c r="BT2" s="39">
        <v>8</v>
      </c>
      <c r="BU2" s="39">
        <v>51</v>
      </c>
      <c r="BV2" s="39">
        <v>5.0999999999999996</v>
      </c>
      <c r="BW2" s="39">
        <v>10</v>
      </c>
      <c r="BX2" s="39">
        <v>7</v>
      </c>
      <c r="BY2" s="39">
        <v>0.7</v>
      </c>
      <c r="BZ2" s="39">
        <v>0</v>
      </c>
      <c r="CA2" s="39">
        <v>0</v>
      </c>
      <c r="CB2" s="39">
        <v>0</v>
      </c>
      <c r="CC2" s="39">
        <v>22</v>
      </c>
      <c r="CD2" s="39">
        <v>1</v>
      </c>
      <c r="CE2" s="39">
        <v>0</v>
      </c>
      <c r="CF2" s="39">
        <v>66.667000000000002</v>
      </c>
      <c r="CG2" s="39">
        <v>6</v>
      </c>
      <c r="CH2" s="39">
        <v>9</v>
      </c>
      <c r="CI2" s="39">
        <v>75</v>
      </c>
      <c r="CJ2" s="39">
        <v>6</v>
      </c>
      <c r="CK2" s="39">
        <v>8</v>
      </c>
      <c r="CL2" s="39">
        <v>0</v>
      </c>
      <c r="CM2" s="39">
        <v>0</v>
      </c>
      <c r="CN2" s="39">
        <v>0</v>
      </c>
      <c r="CO2" s="39">
        <v>0</v>
      </c>
      <c r="CP2" s="39">
        <v>0</v>
      </c>
      <c r="CQ2" s="39">
        <v>8</v>
      </c>
      <c r="CR2" s="39">
        <v>3</v>
      </c>
      <c r="CS2" s="39">
        <v>11</v>
      </c>
      <c r="CT2" s="39">
        <v>5.9169999999999998</v>
      </c>
      <c r="CU2" s="39">
        <v>5.6669999999999998</v>
      </c>
      <c r="CV2" s="39">
        <v>9</v>
      </c>
      <c r="CW2" s="39">
        <v>3.25</v>
      </c>
      <c r="CX2" s="39">
        <v>7</v>
      </c>
      <c r="CY2" s="39">
        <v>0</v>
      </c>
      <c r="CZ2" s="39">
        <v>0</v>
      </c>
      <c r="DA2" s="39">
        <v>5</v>
      </c>
      <c r="DB2" s="39">
        <v>0</v>
      </c>
      <c r="DC2" s="39">
        <v>4.5</v>
      </c>
      <c r="DD2" s="39">
        <v>0</v>
      </c>
      <c r="DE2" s="39">
        <v>5</v>
      </c>
      <c r="DF2" s="39">
        <v>6</v>
      </c>
      <c r="DG2" s="39">
        <v>4</v>
      </c>
      <c r="DH2" s="39">
        <v>2</v>
      </c>
      <c r="DI2" s="39">
        <v>1</v>
      </c>
      <c r="DJ2" s="39">
        <v>7</v>
      </c>
      <c r="DK2" s="39">
        <v>24</v>
      </c>
      <c r="DL2" s="39">
        <v>1</v>
      </c>
      <c r="DM2" s="39">
        <v>4</v>
      </c>
      <c r="DN2" s="39">
        <v>1</v>
      </c>
      <c r="DO2" s="39">
        <v>0</v>
      </c>
      <c r="DP2" s="39">
        <v>0</v>
      </c>
      <c r="DQ2" s="39">
        <v>2</v>
      </c>
      <c r="DR2" s="39">
        <v>0</v>
      </c>
      <c r="DS2" s="39">
        <v>7</v>
      </c>
      <c r="DT2" s="39">
        <v>0</v>
      </c>
      <c r="DU2" s="39">
        <v>1</v>
      </c>
      <c r="DV2" s="39">
        <v>1</v>
      </c>
      <c r="DW2" s="39">
        <v>2</v>
      </c>
      <c r="DX2" s="39">
        <v>2</v>
      </c>
      <c r="DY2" s="39">
        <v>1</v>
      </c>
      <c r="DZ2" s="39">
        <v>6</v>
      </c>
      <c r="EA2" s="39">
        <v>4</v>
      </c>
      <c r="EB2" s="39">
        <v>1</v>
      </c>
      <c r="EC2" s="39">
        <v>4</v>
      </c>
      <c r="ED2" s="39">
        <v>1</v>
      </c>
      <c r="EE2" s="39">
        <v>0</v>
      </c>
      <c r="EF2" s="39">
        <v>0</v>
      </c>
      <c r="EG2" s="39">
        <v>2</v>
      </c>
      <c r="EH2" s="39">
        <v>0</v>
      </c>
      <c r="EI2" s="39">
        <v>2</v>
      </c>
      <c r="EJ2" s="39">
        <v>0</v>
      </c>
      <c r="EK2" s="39">
        <v>1</v>
      </c>
      <c r="EL2" s="39">
        <v>1</v>
      </c>
      <c r="EM2" s="39">
        <v>4.0999999999999996</v>
      </c>
      <c r="EN2" s="39">
        <v>0</v>
      </c>
      <c r="EO2" s="39">
        <v>11.8</v>
      </c>
      <c r="EP2" s="39"/>
    </row>
    <row r="3" spans="1:146" x14ac:dyDescent="0.25">
      <c r="A3" s="39">
        <v>604</v>
      </c>
      <c r="B3" s="39" t="s">
        <v>215</v>
      </c>
      <c r="C3" s="39">
        <v>10</v>
      </c>
      <c r="D3" s="39">
        <v>3</v>
      </c>
      <c r="E3" s="39">
        <v>6</v>
      </c>
      <c r="F3" s="39">
        <v>1</v>
      </c>
      <c r="G3" s="39">
        <v>9</v>
      </c>
      <c r="H3" s="39">
        <v>0</v>
      </c>
      <c r="I3" s="39">
        <v>0</v>
      </c>
      <c r="J3" s="39">
        <v>0</v>
      </c>
      <c r="K3" s="39">
        <v>0</v>
      </c>
      <c r="L3" s="39">
        <v>100</v>
      </c>
      <c r="M3" s="39">
        <v>0.3</v>
      </c>
      <c r="N3" s="39">
        <v>0.3</v>
      </c>
      <c r="O3" s="39">
        <v>3</v>
      </c>
      <c r="P3" s="39">
        <v>3</v>
      </c>
      <c r="Q3" s="39">
        <v>66.667000000000002</v>
      </c>
      <c r="R3" s="39">
        <v>0.2</v>
      </c>
      <c r="S3" s="39">
        <v>0.3</v>
      </c>
      <c r="T3" s="39">
        <v>2</v>
      </c>
      <c r="U3" s="39">
        <v>3</v>
      </c>
      <c r="V3" s="39">
        <v>0.3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0.9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78</v>
      </c>
      <c r="AI3" s="39">
        <v>7.8</v>
      </c>
      <c r="AJ3" s="39">
        <v>12</v>
      </c>
      <c r="AK3" s="39">
        <v>29</v>
      </c>
      <c r="AL3" s="39">
        <v>2.9</v>
      </c>
      <c r="AM3" s="39">
        <v>40</v>
      </c>
      <c r="AN3" s="39">
        <v>0.2</v>
      </c>
      <c r="AO3" s="39">
        <v>0.5</v>
      </c>
      <c r="AP3" s="39">
        <v>2</v>
      </c>
      <c r="AQ3" s="39">
        <v>5</v>
      </c>
      <c r="AR3" s="39">
        <v>17</v>
      </c>
      <c r="AS3" s="39">
        <v>1.7</v>
      </c>
      <c r="AT3" s="39">
        <v>30</v>
      </c>
      <c r="AU3" s="39">
        <v>3</v>
      </c>
      <c r="AV3" s="39">
        <v>100</v>
      </c>
      <c r="AW3" s="39">
        <v>0.9</v>
      </c>
      <c r="AX3" s="39">
        <v>0.9</v>
      </c>
      <c r="AY3" s="39">
        <v>9</v>
      </c>
      <c r="AZ3" s="39">
        <v>9</v>
      </c>
      <c r="BA3" s="39">
        <v>75</v>
      </c>
      <c r="BB3" s="39">
        <v>0.3</v>
      </c>
      <c r="BC3" s="39">
        <v>0.4</v>
      </c>
      <c r="BD3" s="39">
        <v>3</v>
      </c>
      <c r="BE3" s="39">
        <v>4</v>
      </c>
      <c r="BF3" s="39">
        <v>88.462000000000003</v>
      </c>
      <c r="BG3" s="39">
        <v>2.2999999999999998</v>
      </c>
      <c r="BH3" s="39">
        <v>2.6</v>
      </c>
      <c r="BI3" s="39">
        <v>23</v>
      </c>
      <c r="BJ3" s="39">
        <v>26</v>
      </c>
      <c r="BK3" s="39">
        <v>64</v>
      </c>
      <c r="BL3" s="39">
        <v>1.6</v>
      </c>
      <c r="BM3" s="39">
        <v>2.5</v>
      </c>
      <c r="BN3" s="39">
        <v>16</v>
      </c>
      <c r="BO3" s="39">
        <v>25</v>
      </c>
      <c r="BP3" s="39">
        <v>100</v>
      </c>
      <c r="BQ3" s="39">
        <v>1.8</v>
      </c>
      <c r="BR3" s="39">
        <v>1.8</v>
      </c>
      <c r="BS3" s="39">
        <v>18</v>
      </c>
      <c r="BT3" s="39">
        <v>18</v>
      </c>
      <c r="BU3" s="39">
        <v>69</v>
      </c>
      <c r="BV3" s="39">
        <v>6.9</v>
      </c>
      <c r="BW3" s="39">
        <v>12</v>
      </c>
      <c r="BX3" s="39">
        <v>1</v>
      </c>
      <c r="BY3" s="39">
        <v>0.1</v>
      </c>
      <c r="BZ3" s="39">
        <v>0</v>
      </c>
      <c r="CA3" s="39">
        <v>0</v>
      </c>
      <c r="CB3" s="39">
        <v>0</v>
      </c>
      <c r="CC3" s="39">
        <v>22</v>
      </c>
      <c r="CD3" s="39">
        <v>1</v>
      </c>
      <c r="CE3" s="39">
        <v>0</v>
      </c>
      <c r="CF3" s="39">
        <v>0</v>
      </c>
      <c r="CG3" s="39">
        <v>0</v>
      </c>
      <c r="CH3" s="39">
        <v>0</v>
      </c>
      <c r="CI3" s="39">
        <v>0</v>
      </c>
      <c r="CJ3" s="39">
        <v>0</v>
      </c>
      <c r="CK3" s="39">
        <v>0</v>
      </c>
      <c r="CL3" s="39">
        <v>0</v>
      </c>
      <c r="CM3" s="39">
        <v>0</v>
      </c>
      <c r="CN3" s="39">
        <v>0</v>
      </c>
      <c r="CO3" s="39">
        <v>0</v>
      </c>
      <c r="CP3" s="39">
        <v>5</v>
      </c>
      <c r="CQ3" s="39">
        <v>11.25</v>
      </c>
      <c r="CR3" s="39">
        <v>13.5</v>
      </c>
      <c r="CS3" s="39">
        <v>0</v>
      </c>
      <c r="CT3" s="39">
        <v>5</v>
      </c>
      <c r="CU3" s="39">
        <v>6.4260000000000002</v>
      </c>
      <c r="CV3" s="39">
        <v>4.1669999999999998</v>
      </c>
      <c r="CW3" s="39">
        <v>0</v>
      </c>
      <c r="CX3" s="39">
        <v>4.3570000000000002</v>
      </c>
      <c r="CY3" s="39">
        <v>9.5</v>
      </c>
      <c r="CZ3" s="39">
        <v>0</v>
      </c>
      <c r="DA3" s="39">
        <v>5</v>
      </c>
      <c r="DB3" s="39">
        <v>0</v>
      </c>
      <c r="DC3" s="39">
        <v>9.4580000000000002</v>
      </c>
      <c r="DD3" s="39">
        <v>10</v>
      </c>
      <c r="DE3" s="39">
        <v>7</v>
      </c>
      <c r="DF3" s="39">
        <v>8.375</v>
      </c>
      <c r="DG3" s="39">
        <v>4</v>
      </c>
      <c r="DH3" s="39">
        <v>6</v>
      </c>
      <c r="DI3" s="39">
        <v>0</v>
      </c>
      <c r="DJ3" s="39">
        <v>1</v>
      </c>
      <c r="DK3" s="39">
        <v>24</v>
      </c>
      <c r="DL3" s="39">
        <v>4</v>
      </c>
      <c r="DM3" s="39">
        <v>0</v>
      </c>
      <c r="DN3" s="39">
        <v>8</v>
      </c>
      <c r="DO3" s="39">
        <v>2</v>
      </c>
      <c r="DP3" s="39">
        <v>0</v>
      </c>
      <c r="DQ3" s="39">
        <v>1</v>
      </c>
      <c r="DR3" s="39">
        <v>0</v>
      </c>
      <c r="DS3" s="39">
        <v>10</v>
      </c>
      <c r="DT3" s="39">
        <v>1</v>
      </c>
      <c r="DU3" s="39">
        <v>2</v>
      </c>
      <c r="DV3" s="39">
        <v>5</v>
      </c>
      <c r="DW3" s="39">
        <v>1</v>
      </c>
      <c r="DX3" s="39">
        <v>5</v>
      </c>
      <c r="DY3" s="39">
        <v>0</v>
      </c>
      <c r="DZ3" s="39">
        <v>1</v>
      </c>
      <c r="EA3" s="39">
        <v>4</v>
      </c>
      <c r="EB3" s="39">
        <v>2</v>
      </c>
      <c r="EC3" s="39">
        <v>0</v>
      </c>
      <c r="ED3" s="39">
        <v>7</v>
      </c>
      <c r="EE3" s="39">
        <v>2</v>
      </c>
      <c r="EF3" s="39">
        <v>0</v>
      </c>
      <c r="EG3" s="39">
        <v>1</v>
      </c>
      <c r="EH3" s="39">
        <v>0</v>
      </c>
      <c r="EI3" s="39">
        <v>3</v>
      </c>
      <c r="EJ3" s="39">
        <v>1</v>
      </c>
      <c r="EK3" s="39">
        <v>1</v>
      </c>
      <c r="EL3" s="39">
        <v>2</v>
      </c>
      <c r="EM3" s="39">
        <v>3.3</v>
      </c>
      <c r="EN3" s="39">
        <v>2</v>
      </c>
      <c r="EO3" s="39">
        <v>14.7</v>
      </c>
      <c r="EP3" s="39"/>
    </row>
    <row r="4" spans="1:146" x14ac:dyDescent="0.25">
      <c r="A4" s="39">
        <v>624</v>
      </c>
      <c r="B4" s="39" t="s">
        <v>206</v>
      </c>
      <c r="C4" s="39">
        <v>10</v>
      </c>
      <c r="D4" s="39">
        <v>4</v>
      </c>
      <c r="E4" s="39">
        <v>6</v>
      </c>
      <c r="F4" s="39">
        <v>0</v>
      </c>
      <c r="G4" s="39">
        <v>10</v>
      </c>
      <c r="H4" s="39">
        <v>0</v>
      </c>
      <c r="I4" s="39">
        <v>0</v>
      </c>
      <c r="J4" s="39">
        <v>2</v>
      </c>
      <c r="K4" s="39">
        <v>0.2</v>
      </c>
      <c r="L4" s="39">
        <v>85.713999999999999</v>
      </c>
      <c r="M4" s="39">
        <v>0.6</v>
      </c>
      <c r="N4" s="39">
        <v>0.7</v>
      </c>
      <c r="O4" s="39">
        <v>6</v>
      </c>
      <c r="P4" s="39">
        <v>7</v>
      </c>
      <c r="Q4" s="39">
        <v>100</v>
      </c>
      <c r="R4" s="39">
        <v>0.5</v>
      </c>
      <c r="S4" s="39">
        <v>0.5</v>
      </c>
      <c r="T4" s="39">
        <v>5</v>
      </c>
      <c r="U4" s="39">
        <v>5</v>
      </c>
      <c r="V4" s="39">
        <v>0.2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0.3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70</v>
      </c>
      <c r="AI4" s="39">
        <v>7</v>
      </c>
      <c r="AJ4" s="39">
        <v>9</v>
      </c>
      <c r="AK4" s="39">
        <v>12</v>
      </c>
      <c r="AL4" s="39">
        <v>1.2</v>
      </c>
      <c r="AM4" s="39">
        <v>100</v>
      </c>
      <c r="AN4" s="39">
        <v>0.3</v>
      </c>
      <c r="AO4" s="39">
        <v>0.3</v>
      </c>
      <c r="AP4" s="39">
        <v>3</v>
      </c>
      <c r="AQ4" s="39">
        <v>3</v>
      </c>
      <c r="AR4" s="39">
        <v>8</v>
      </c>
      <c r="AS4" s="39">
        <v>0.8</v>
      </c>
      <c r="AT4" s="39">
        <v>47</v>
      </c>
      <c r="AU4" s="39">
        <v>4.7</v>
      </c>
      <c r="AV4" s="39">
        <v>72.727000000000004</v>
      </c>
      <c r="AW4" s="39">
        <v>0.8</v>
      </c>
      <c r="AX4" s="39">
        <v>1.1000000000000001</v>
      </c>
      <c r="AY4" s="39">
        <v>8</v>
      </c>
      <c r="AZ4" s="39">
        <v>11</v>
      </c>
      <c r="BA4" s="39">
        <v>100</v>
      </c>
      <c r="BB4" s="39">
        <v>0.9</v>
      </c>
      <c r="BC4" s="39">
        <v>0.9</v>
      </c>
      <c r="BD4" s="39">
        <v>9</v>
      </c>
      <c r="BE4" s="39">
        <v>9</v>
      </c>
      <c r="BF4" s="39">
        <v>88.234999999999999</v>
      </c>
      <c r="BG4" s="39">
        <v>1.5</v>
      </c>
      <c r="BH4" s="39">
        <v>1.7</v>
      </c>
      <c r="BI4" s="39">
        <v>15</v>
      </c>
      <c r="BJ4" s="39">
        <v>17</v>
      </c>
      <c r="BK4" s="39">
        <v>86.956999999999994</v>
      </c>
      <c r="BL4" s="39">
        <v>2</v>
      </c>
      <c r="BM4" s="39">
        <v>2.2999999999999998</v>
      </c>
      <c r="BN4" s="39">
        <v>20</v>
      </c>
      <c r="BO4" s="39">
        <v>23</v>
      </c>
      <c r="BP4" s="39">
        <v>100</v>
      </c>
      <c r="BQ4" s="39">
        <v>0.4</v>
      </c>
      <c r="BR4" s="39">
        <v>0.4</v>
      </c>
      <c r="BS4" s="39">
        <v>4</v>
      </c>
      <c r="BT4" s="39">
        <v>4</v>
      </c>
      <c r="BU4" s="39">
        <v>56</v>
      </c>
      <c r="BV4" s="39">
        <v>5.6</v>
      </c>
      <c r="BW4" s="39">
        <v>9</v>
      </c>
      <c r="BX4" s="39">
        <v>1</v>
      </c>
      <c r="BY4" s="39">
        <v>0.1</v>
      </c>
      <c r="BZ4" s="39">
        <v>0</v>
      </c>
      <c r="CA4" s="39">
        <v>0</v>
      </c>
      <c r="CB4" s="39">
        <v>0</v>
      </c>
      <c r="CC4" s="39">
        <v>11</v>
      </c>
      <c r="CD4" s="39">
        <v>4</v>
      </c>
      <c r="CE4" s="39">
        <v>0</v>
      </c>
      <c r="CF4" s="39">
        <v>70</v>
      </c>
      <c r="CG4" s="39">
        <v>7</v>
      </c>
      <c r="CH4" s="39">
        <v>10</v>
      </c>
      <c r="CI4" s="39">
        <v>85.713999999999999</v>
      </c>
      <c r="CJ4" s="39">
        <v>6</v>
      </c>
      <c r="CK4" s="39">
        <v>7</v>
      </c>
      <c r="CL4" s="39">
        <v>0</v>
      </c>
      <c r="CM4" s="39">
        <v>0</v>
      </c>
      <c r="CN4" s="39">
        <v>0</v>
      </c>
      <c r="CO4" s="39">
        <v>0</v>
      </c>
      <c r="CP4" s="39">
        <v>1</v>
      </c>
      <c r="CQ4" s="39">
        <v>0</v>
      </c>
      <c r="CR4" s="39">
        <v>3.6</v>
      </c>
      <c r="CS4" s="39">
        <v>0</v>
      </c>
      <c r="CT4" s="39">
        <v>3.6669999999999998</v>
      </c>
      <c r="CU4" s="39">
        <v>6.7839999999999998</v>
      </c>
      <c r="CV4" s="39">
        <v>4.3330000000000002</v>
      </c>
      <c r="CW4" s="39">
        <v>5.5830000000000002</v>
      </c>
      <c r="CX4" s="39">
        <v>10</v>
      </c>
      <c r="CY4" s="39">
        <v>0</v>
      </c>
      <c r="CZ4" s="39">
        <v>0</v>
      </c>
      <c r="DA4" s="39">
        <v>6</v>
      </c>
      <c r="DB4" s="39">
        <v>0</v>
      </c>
      <c r="DC4" s="39">
        <v>5.6390000000000002</v>
      </c>
      <c r="DD4" s="39">
        <v>2.5</v>
      </c>
      <c r="DE4" s="39">
        <v>0</v>
      </c>
      <c r="DF4" s="39">
        <v>0</v>
      </c>
      <c r="DG4" s="39">
        <v>0</v>
      </c>
      <c r="DH4" s="39">
        <v>5</v>
      </c>
      <c r="DI4" s="39">
        <v>0</v>
      </c>
      <c r="DJ4" s="39">
        <v>3</v>
      </c>
      <c r="DK4" s="39">
        <v>28</v>
      </c>
      <c r="DL4" s="39">
        <v>7</v>
      </c>
      <c r="DM4" s="39">
        <v>13</v>
      </c>
      <c r="DN4" s="39">
        <v>1</v>
      </c>
      <c r="DO4" s="39">
        <v>0</v>
      </c>
      <c r="DP4" s="39">
        <v>0</v>
      </c>
      <c r="DQ4" s="39">
        <v>1</v>
      </c>
      <c r="DR4" s="39">
        <v>0</v>
      </c>
      <c r="DS4" s="39">
        <v>11</v>
      </c>
      <c r="DT4" s="39">
        <v>2</v>
      </c>
      <c r="DU4" s="39">
        <v>0</v>
      </c>
      <c r="DV4" s="39">
        <v>0</v>
      </c>
      <c r="DW4" s="39">
        <v>0</v>
      </c>
      <c r="DX4" s="39">
        <v>5</v>
      </c>
      <c r="DY4" s="39">
        <v>0</v>
      </c>
      <c r="DZ4" s="39">
        <v>3</v>
      </c>
      <c r="EA4" s="39">
        <v>7</v>
      </c>
      <c r="EB4" s="39">
        <v>4</v>
      </c>
      <c r="EC4" s="39">
        <v>6</v>
      </c>
      <c r="ED4" s="39">
        <v>1</v>
      </c>
      <c r="EE4" s="39">
        <v>0</v>
      </c>
      <c r="EF4" s="39">
        <v>0</v>
      </c>
      <c r="EG4" s="39">
        <v>1</v>
      </c>
      <c r="EH4" s="39">
        <v>0</v>
      </c>
      <c r="EI4" s="39">
        <v>3</v>
      </c>
      <c r="EJ4" s="39">
        <v>2</v>
      </c>
      <c r="EK4" s="39">
        <v>0</v>
      </c>
      <c r="EL4" s="39">
        <v>0</v>
      </c>
      <c r="EM4" s="39">
        <v>3.8</v>
      </c>
      <c r="EN4" s="39">
        <v>3</v>
      </c>
      <c r="EO4" s="39">
        <v>12.6</v>
      </c>
      <c r="EP4" s="39"/>
    </row>
    <row r="5" spans="1:146" x14ac:dyDescent="0.25">
      <c r="A5" s="39">
        <v>687</v>
      </c>
      <c r="B5" s="39" t="s">
        <v>216</v>
      </c>
      <c r="C5" s="39">
        <v>9</v>
      </c>
      <c r="D5" s="39">
        <v>0</v>
      </c>
      <c r="E5" s="39">
        <v>5</v>
      </c>
      <c r="F5" s="39">
        <v>4</v>
      </c>
      <c r="G5" s="39">
        <v>8</v>
      </c>
      <c r="H5" s="39">
        <v>3</v>
      </c>
      <c r="I5" s="39">
        <v>0.33300000000000002</v>
      </c>
      <c r="J5" s="39">
        <v>1</v>
      </c>
      <c r="K5" s="39">
        <v>0.111</v>
      </c>
      <c r="L5" s="39">
        <v>100.01300000000001</v>
      </c>
      <c r="M5" s="39">
        <v>0.88900000000000001</v>
      </c>
      <c r="N5" s="39">
        <v>0.88900000000000001</v>
      </c>
      <c r="O5" s="39">
        <v>8</v>
      </c>
      <c r="P5" s="39">
        <v>8</v>
      </c>
      <c r="Q5" s="39">
        <v>100</v>
      </c>
      <c r="R5" s="39">
        <v>0.44400000000000001</v>
      </c>
      <c r="S5" s="39">
        <v>0.44400000000000001</v>
      </c>
      <c r="T5" s="39">
        <v>4</v>
      </c>
      <c r="U5" s="39">
        <v>4</v>
      </c>
      <c r="V5" s="39">
        <v>0.222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0.66700000000000004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59</v>
      </c>
      <c r="AI5" s="39">
        <v>6.556</v>
      </c>
      <c r="AJ5" s="39">
        <v>10</v>
      </c>
      <c r="AK5" s="39">
        <v>13</v>
      </c>
      <c r="AL5" s="39">
        <v>1.444</v>
      </c>
      <c r="AM5" s="39">
        <v>70</v>
      </c>
      <c r="AN5" s="39">
        <v>0.77800000000000002</v>
      </c>
      <c r="AO5" s="39">
        <v>1.111</v>
      </c>
      <c r="AP5" s="39">
        <v>7</v>
      </c>
      <c r="AQ5" s="39">
        <v>10</v>
      </c>
      <c r="AR5" s="39">
        <v>21</v>
      </c>
      <c r="AS5" s="39">
        <v>2.3330000000000002</v>
      </c>
      <c r="AT5" s="39">
        <v>18</v>
      </c>
      <c r="AU5" s="39">
        <v>2</v>
      </c>
      <c r="AV5" s="39">
        <v>100</v>
      </c>
      <c r="AW5" s="39">
        <v>0.33300000000000002</v>
      </c>
      <c r="AX5" s="39">
        <v>0.33300000000000002</v>
      </c>
      <c r="AY5" s="39">
        <v>3</v>
      </c>
      <c r="AZ5" s="39">
        <v>3</v>
      </c>
      <c r="BA5" s="39">
        <v>100</v>
      </c>
      <c r="BB5" s="39">
        <v>1.333</v>
      </c>
      <c r="BC5" s="39">
        <v>1.333</v>
      </c>
      <c r="BD5" s="39">
        <v>12</v>
      </c>
      <c r="BE5" s="39">
        <v>12</v>
      </c>
      <c r="BF5" s="39">
        <v>85.713999999999999</v>
      </c>
      <c r="BG5" s="39">
        <v>1.333</v>
      </c>
      <c r="BH5" s="39">
        <v>1.556</v>
      </c>
      <c r="BI5" s="39">
        <v>12</v>
      </c>
      <c r="BJ5" s="39">
        <v>14</v>
      </c>
      <c r="BK5" s="39">
        <v>64.706000000000003</v>
      </c>
      <c r="BL5" s="39">
        <v>1.222</v>
      </c>
      <c r="BM5" s="39">
        <v>1.889</v>
      </c>
      <c r="BN5" s="39">
        <v>11</v>
      </c>
      <c r="BO5" s="39">
        <v>17</v>
      </c>
      <c r="BP5" s="39">
        <v>100</v>
      </c>
      <c r="BQ5" s="39">
        <v>1</v>
      </c>
      <c r="BR5" s="39">
        <v>1</v>
      </c>
      <c r="BS5" s="39">
        <v>9</v>
      </c>
      <c r="BT5" s="39">
        <v>9</v>
      </c>
      <c r="BU5" s="39">
        <v>47</v>
      </c>
      <c r="BV5" s="39">
        <v>5.2220000000000004</v>
      </c>
      <c r="BW5" s="39">
        <v>9</v>
      </c>
      <c r="BX5" s="39">
        <v>0</v>
      </c>
      <c r="BY5" s="39">
        <v>0</v>
      </c>
      <c r="BZ5" s="39">
        <v>0</v>
      </c>
      <c r="CA5" s="39">
        <v>0</v>
      </c>
      <c r="CB5" s="39">
        <v>0</v>
      </c>
      <c r="CC5" s="39">
        <v>22</v>
      </c>
      <c r="CD5" s="39">
        <v>2</v>
      </c>
      <c r="CE5" s="39">
        <v>0</v>
      </c>
      <c r="CF5" s="39">
        <v>0</v>
      </c>
      <c r="CG5" s="39">
        <v>0</v>
      </c>
      <c r="CH5" s="39">
        <v>0</v>
      </c>
      <c r="CI5" s="39">
        <v>0</v>
      </c>
      <c r="CJ5" s="39">
        <v>0</v>
      </c>
      <c r="CK5" s="39">
        <v>0</v>
      </c>
      <c r="CL5" s="39">
        <v>0</v>
      </c>
      <c r="CM5" s="39">
        <v>0</v>
      </c>
      <c r="CN5" s="39">
        <v>0</v>
      </c>
      <c r="CO5" s="39">
        <v>0</v>
      </c>
      <c r="CP5" s="39">
        <v>0</v>
      </c>
      <c r="CQ5" s="39">
        <v>0</v>
      </c>
      <c r="CR5" s="39">
        <v>3.25</v>
      </c>
      <c r="CS5" s="39">
        <v>0</v>
      </c>
      <c r="CT5" s="39">
        <v>5.9790000000000001</v>
      </c>
      <c r="CU5" s="39">
        <v>7.3330000000000002</v>
      </c>
      <c r="CV5" s="39">
        <v>13</v>
      </c>
      <c r="CW5" s="39">
        <v>5.875</v>
      </c>
      <c r="CX5" s="39">
        <v>0</v>
      </c>
      <c r="CY5" s="39">
        <v>8.875</v>
      </c>
      <c r="CZ5" s="39">
        <v>0</v>
      </c>
      <c r="DA5" s="39">
        <v>6.75</v>
      </c>
      <c r="DB5" s="39">
        <v>0</v>
      </c>
      <c r="DC5" s="39">
        <v>5.25</v>
      </c>
      <c r="DD5" s="39">
        <v>0</v>
      </c>
      <c r="DE5" s="39">
        <v>7.1669999999999998</v>
      </c>
      <c r="DF5" s="39">
        <v>9</v>
      </c>
      <c r="DG5" s="39">
        <v>0</v>
      </c>
      <c r="DH5" s="39">
        <v>5</v>
      </c>
      <c r="DI5" s="39">
        <v>0</v>
      </c>
      <c r="DJ5" s="39">
        <v>10</v>
      </c>
      <c r="DK5" s="39">
        <v>16</v>
      </c>
      <c r="DL5" s="39">
        <v>1</v>
      </c>
      <c r="DM5" s="39">
        <v>5</v>
      </c>
      <c r="DN5" s="39">
        <v>0</v>
      </c>
      <c r="DO5" s="39">
        <v>6</v>
      </c>
      <c r="DP5" s="39">
        <v>0</v>
      </c>
      <c r="DQ5" s="39">
        <v>6</v>
      </c>
      <c r="DR5" s="39">
        <v>0</v>
      </c>
      <c r="DS5" s="39">
        <v>3</v>
      </c>
      <c r="DT5" s="39">
        <v>0</v>
      </c>
      <c r="DU5" s="39">
        <v>4</v>
      </c>
      <c r="DV5" s="39">
        <v>1</v>
      </c>
      <c r="DW5" s="39">
        <v>0</v>
      </c>
      <c r="DX5" s="39">
        <v>2</v>
      </c>
      <c r="DY5" s="39">
        <v>0</v>
      </c>
      <c r="DZ5" s="39">
        <v>4</v>
      </c>
      <c r="EA5" s="39">
        <v>5</v>
      </c>
      <c r="EB5" s="39">
        <v>1</v>
      </c>
      <c r="EC5" s="39">
        <v>4</v>
      </c>
      <c r="ED5" s="39">
        <v>0</v>
      </c>
      <c r="EE5" s="39">
        <v>2</v>
      </c>
      <c r="EF5" s="39">
        <v>0</v>
      </c>
      <c r="EG5" s="39">
        <v>4</v>
      </c>
      <c r="EH5" s="39">
        <v>0</v>
      </c>
      <c r="EI5" s="39">
        <v>2</v>
      </c>
      <c r="EJ5" s="39">
        <v>0</v>
      </c>
      <c r="EK5" s="39">
        <v>3</v>
      </c>
      <c r="EL5" s="39">
        <v>1</v>
      </c>
      <c r="EM5" s="39">
        <v>3.222</v>
      </c>
      <c r="EN5" s="39">
        <v>4</v>
      </c>
      <c r="EO5" s="39">
        <v>11.778</v>
      </c>
      <c r="EP5" s="39"/>
    </row>
    <row r="6" spans="1:146" x14ac:dyDescent="0.25">
      <c r="A6" s="39">
        <v>812</v>
      </c>
      <c r="B6" s="39" t="s">
        <v>217</v>
      </c>
      <c r="C6" s="39">
        <v>10</v>
      </c>
      <c r="D6" s="39">
        <v>4</v>
      </c>
      <c r="E6" s="39">
        <v>1</v>
      </c>
      <c r="F6" s="39">
        <v>5</v>
      </c>
      <c r="G6" s="39">
        <v>10</v>
      </c>
      <c r="H6" s="39">
        <v>0</v>
      </c>
      <c r="I6" s="39">
        <v>0</v>
      </c>
      <c r="J6" s="39">
        <v>0</v>
      </c>
      <c r="K6" s="39">
        <v>0</v>
      </c>
      <c r="L6" s="39">
        <v>100</v>
      </c>
      <c r="M6" s="39">
        <v>0.6</v>
      </c>
      <c r="N6" s="39">
        <v>0.6</v>
      </c>
      <c r="O6" s="39">
        <v>6</v>
      </c>
      <c r="P6" s="39">
        <v>6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68</v>
      </c>
      <c r="AI6" s="39">
        <v>6.8</v>
      </c>
      <c r="AJ6" s="39">
        <v>10</v>
      </c>
      <c r="AK6" s="39">
        <v>16</v>
      </c>
      <c r="AL6" s="39">
        <v>1.6</v>
      </c>
      <c r="AM6" s="39">
        <v>75</v>
      </c>
      <c r="AN6" s="39">
        <v>0.6</v>
      </c>
      <c r="AO6" s="39">
        <v>0.8</v>
      </c>
      <c r="AP6" s="39">
        <v>6</v>
      </c>
      <c r="AQ6" s="39">
        <v>8</v>
      </c>
      <c r="AR6" s="39">
        <v>39</v>
      </c>
      <c r="AS6" s="39">
        <v>3.9</v>
      </c>
      <c r="AT6" s="39">
        <v>7</v>
      </c>
      <c r="AU6" s="39">
        <v>0.7</v>
      </c>
      <c r="AV6" s="39">
        <v>94.736999999999995</v>
      </c>
      <c r="AW6" s="39">
        <v>1.8</v>
      </c>
      <c r="AX6" s="39">
        <v>1.9</v>
      </c>
      <c r="AY6" s="39">
        <v>18</v>
      </c>
      <c r="AZ6" s="39">
        <v>19</v>
      </c>
      <c r="BA6" s="39">
        <v>93.332999999999998</v>
      </c>
      <c r="BB6" s="39">
        <v>1.4</v>
      </c>
      <c r="BC6" s="39">
        <v>1.5</v>
      </c>
      <c r="BD6" s="39">
        <v>14</v>
      </c>
      <c r="BE6" s="39">
        <v>15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97.727000000000004</v>
      </c>
      <c r="BQ6" s="39">
        <v>4.3</v>
      </c>
      <c r="BR6" s="39">
        <v>4.4000000000000004</v>
      </c>
      <c r="BS6" s="39">
        <v>43</v>
      </c>
      <c r="BT6" s="39">
        <v>44</v>
      </c>
      <c r="BU6" s="39">
        <v>75</v>
      </c>
      <c r="BV6" s="39">
        <v>7.5</v>
      </c>
      <c r="BW6" s="39">
        <v>10</v>
      </c>
      <c r="BX6" s="39">
        <v>2</v>
      </c>
      <c r="BY6" s="39">
        <v>0.2</v>
      </c>
      <c r="BZ6" s="39">
        <v>0</v>
      </c>
      <c r="CA6" s="39">
        <v>0</v>
      </c>
      <c r="CB6" s="39">
        <v>0</v>
      </c>
      <c r="CC6" s="39">
        <v>1</v>
      </c>
      <c r="CD6" s="39">
        <v>1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5</v>
      </c>
      <c r="CQ6" s="39">
        <v>12</v>
      </c>
      <c r="CR6" s="39">
        <v>7.69</v>
      </c>
      <c r="CS6" s="39">
        <v>0</v>
      </c>
      <c r="CT6" s="39">
        <v>5.4630000000000001</v>
      </c>
      <c r="CU6" s="39">
        <v>0</v>
      </c>
      <c r="CV6" s="39">
        <v>6</v>
      </c>
      <c r="CW6" s="39">
        <v>9.1669999999999998</v>
      </c>
      <c r="CX6" s="39">
        <v>0</v>
      </c>
      <c r="CY6" s="39">
        <v>0</v>
      </c>
      <c r="CZ6" s="39">
        <v>11.833</v>
      </c>
      <c r="DA6" s="39">
        <v>5.6669999999999998</v>
      </c>
      <c r="DB6" s="39">
        <v>0</v>
      </c>
      <c r="DC6" s="39">
        <v>0</v>
      </c>
      <c r="DD6" s="39">
        <v>8</v>
      </c>
      <c r="DE6" s="39">
        <v>10.5</v>
      </c>
      <c r="DF6" s="39">
        <v>7.875</v>
      </c>
      <c r="DG6" s="39">
        <v>1</v>
      </c>
      <c r="DH6" s="39">
        <v>10</v>
      </c>
      <c r="DI6" s="39">
        <v>0</v>
      </c>
      <c r="DJ6" s="39">
        <v>39</v>
      </c>
      <c r="DK6" s="39">
        <v>0</v>
      </c>
      <c r="DL6" s="39">
        <v>3</v>
      </c>
      <c r="DM6" s="39">
        <v>4</v>
      </c>
      <c r="DN6" s="39">
        <v>0</v>
      </c>
      <c r="DO6" s="39">
        <v>0</v>
      </c>
      <c r="DP6" s="39">
        <v>4</v>
      </c>
      <c r="DQ6" s="39">
        <v>6</v>
      </c>
      <c r="DR6" s="39">
        <v>0</v>
      </c>
      <c r="DS6" s="39">
        <v>0</v>
      </c>
      <c r="DT6" s="39">
        <v>2</v>
      </c>
      <c r="DU6" s="39">
        <v>2</v>
      </c>
      <c r="DV6" s="39">
        <v>5</v>
      </c>
      <c r="DW6" s="39">
        <v>1</v>
      </c>
      <c r="DX6" s="39">
        <v>3</v>
      </c>
      <c r="DY6" s="39">
        <v>0</v>
      </c>
      <c r="DZ6" s="39">
        <v>9</v>
      </c>
      <c r="EA6" s="39">
        <v>0</v>
      </c>
      <c r="EB6" s="39">
        <v>2</v>
      </c>
      <c r="EC6" s="39">
        <v>3</v>
      </c>
      <c r="ED6" s="39">
        <v>0</v>
      </c>
      <c r="EE6" s="39">
        <v>0</v>
      </c>
      <c r="EF6" s="39">
        <v>2</v>
      </c>
      <c r="EG6" s="39">
        <v>4</v>
      </c>
      <c r="EH6" s="39">
        <v>0</v>
      </c>
      <c r="EI6" s="39">
        <v>0</v>
      </c>
      <c r="EJ6" s="39">
        <v>1</v>
      </c>
      <c r="EK6" s="39">
        <v>1</v>
      </c>
      <c r="EL6" s="39">
        <v>2</v>
      </c>
      <c r="EM6" s="39">
        <v>3.1</v>
      </c>
      <c r="EN6" s="39">
        <v>0</v>
      </c>
      <c r="EO6" s="39">
        <v>14.3</v>
      </c>
      <c r="EP6" s="39"/>
    </row>
    <row r="7" spans="1:146" x14ac:dyDescent="0.25">
      <c r="A7" s="39">
        <v>832</v>
      </c>
      <c r="B7" s="39" t="s">
        <v>218</v>
      </c>
      <c r="C7" s="39">
        <v>10</v>
      </c>
      <c r="D7" s="39">
        <v>0</v>
      </c>
      <c r="E7" s="39">
        <v>7</v>
      </c>
      <c r="F7" s="39">
        <v>3</v>
      </c>
      <c r="G7" s="39">
        <v>9</v>
      </c>
      <c r="H7" s="39">
        <v>0</v>
      </c>
      <c r="I7" s="39">
        <v>0</v>
      </c>
      <c r="J7" s="39">
        <v>0</v>
      </c>
      <c r="K7" s="39">
        <v>0</v>
      </c>
      <c r="L7" s="39">
        <v>83.332999999999998</v>
      </c>
      <c r="M7" s="39">
        <v>0.5</v>
      </c>
      <c r="N7" s="39">
        <v>0.6</v>
      </c>
      <c r="O7" s="39">
        <v>5</v>
      </c>
      <c r="P7" s="39">
        <v>6</v>
      </c>
      <c r="Q7" s="39">
        <v>0</v>
      </c>
      <c r="R7" s="39">
        <v>0</v>
      </c>
      <c r="S7" s="39">
        <v>0.3</v>
      </c>
      <c r="T7" s="39">
        <v>0</v>
      </c>
      <c r="U7" s="39">
        <v>3</v>
      </c>
      <c r="V7" s="39">
        <v>0.3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0.2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65</v>
      </c>
      <c r="AI7" s="39">
        <v>6.5</v>
      </c>
      <c r="AJ7" s="39">
        <v>10</v>
      </c>
      <c r="AK7" s="39">
        <v>22</v>
      </c>
      <c r="AL7" s="39">
        <v>2.2000000000000002</v>
      </c>
      <c r="AM7" s="39">
        <v>100</v>
      </c>
      <c r="AN7" s="39">
        <v>0.2</v>
      </c>
      <c r="AO7" s="39">
        <v>0.2</v>
      </c>
      <c r="AP7" s="39">
        <v>2</v>
      </c>
      <c r="AQ7" s="39">
        <v>2</v>
      </c>
      <c r="AR7" s="39">
        <v>19</v>
      </c>
      <c r="AS7" s="39">
        <v>1.9</v>
      </c>
      <c r="AT7" s="39">
        <v>22</v>
      </c>
      <c r="AU7" s="39">
        <v>2.2000000000000002</v>
      </c>
      <c r="AV7" s="39">
        <v>80</v>
      </c>
      <c r="AW7" s="39">
        <v>1.6</v>
      </c>
      <c r="AX7" s="39">
        <v>2</v>
      </c>
      <c r="AY7" s="39">
        <v>16</v>
      </c>
      <c r="AZ7" s="39">
        <v>20</v>
      </c>
      <c r="BA7" s="39">
        <v>100</v>
      </c>
      <c r="BB7" s="39">
        <v>0.2</v>
      </c>
      <c r="BC7" s="39">
        <v>0.2</v>
      </c>
      <c r="BD7" s="39">
        <v>2</v>
      </c>
      <c r="BE7" s="39">
        <v>2</v>
      </c>
      <c r="BF7" s="39">
        <v>80</v>
      </c>
      <c r="BG7" s="39">
        <v>1.2</v>
      </c>
      <c r="BH7" s="39">
        <v>1.5</v>
      </c>
      <c r="BI7" s="39">
        <v>12</v>
      </c>
      <c r="BJ7" s="39">
        <v>15</v>
      </c>
      <c r="BK7" s="39">
        <v>77.778000000000006</v>
      </c>
      <c r="BL7" s="39">
        <v>0.7</v>
      </c>
      <c r="BM7" s="39">
        <v>0.9</v>
      </c>
      <c r="BN7" s="39">
        <v>7</v>
      </c>
      <c r="BO7" s="39">
        <v>9</v>
      </c>
      <c r="BP7" s="39">
        <v>100</v>
      </c>
      <c r="BQ7" s="39">
        <v>2.2000000000000002</v>
      </c>
      <c r="BR7" s="39">
        <v>2.2000000000000002</v>
      </c>
      <c r="BS7" s="39">
        <v>22</v>
      </c>
      <c r="BT7" s="39">
        <v>22</v>
      </c>
      <c r="BU7" s="39">
        <v>59</v>
      </c>
      <c r="BV7" s="39">
        <v>5.9</v>
      </c>
      <c r="BW7" s="39">
        <v>13</v>
      </c>
      <c r="BX7" s="39">
        <v>2</v>
      </c>
      <c r="BY7" s="39">
        <v>0.2</v>
      </c>
      <c r="BZ7" s="39">
        <v>0</v>
      </c>
      <c r="CA7" s="39">
        <v>0</v>
      </c>
      <c r="CB7" s="39">
        <v>0</v>
      </c>
      <c r="CC7" s="39">
        <v>22</v>
      </c>
      <c r="CD7" s="39">
        <v>1</v>
      </c>
      <c r="CE7" s="39">
        <v>0</v>
      </c>
      <c r="CF7" s="39">
        <v>100</v>
      </c>
      <c r="CG7" s="39">
        <v>7</v>
      </c>
      <c r="CH7" s="39">
        <v>7</v>
      </c>
      <c r="CI7" s="39">
        <v>0</v>
      </c>
      <c r="CJ7" s="39">
        <v>0</v>
      </c>
      <c r="CK7" s="39">
        <v>0</v>
      </c>
      <c r="CL7" s="39">
        <v>0</v>
      </c>
      <c r="CM7" s="39">
        <v>0</v>
      </c>
      <c r="CN7" s="39">
        <v>0</v>
      </c>
      <c r="CO7" s="39">
        <v>0</v>
      </c>
      <c r="CP7" s="39">
        <v>1</v>
      </c>
      <c r="CQ7" s="39">
        <v>0</v>
      </c>
      <c r="CR7" s="39">
        <v>5.5</v>
      </c>
      <c r="CS7" s="39">
        <v>0</v>
      </c>
      <c r="CT7" s="39">
        <v>5.8730000000000002</v>
      </c>
      <c r="CU7" s="39">
        <v>7.1669999999999998</v>
      </c>
      <c r="CV7" s="39">
        <v>11.083</v>
      </c>
      <c r="CW7" s="39">
        <v>0</v>
      </c>
      <c r="CX7" s="39">
        <v>15</v>
      </c>
      <c r="CY7" s="39">
        <v>11</v>
      </c>
      <c r="CZ7" s="39">
        <v>0</v>
      </c>
      <c r="DA7" s="39">
        <v>4</v>
      </c>
      <c r="DB7" s="39">
        <v>0</v>
      </c>
      <c r="DC7" s="39">
        <v>7.125</v>
      </c>
      <c r="DD7" s="39">
        <v>6.1669999999999998</v>
      </c>
      <c r="DE7" s="39">
        <v>18</v>
      </c>
      <c r="DF7" s="39">
        <v>3</v>
      </c>
      <c r="DG7" s="39">
        <v>0</v>
      </c>
      <c r="DH7" s="39">
        <v>3</v>
      </c>
      <c r="DI7" s="39">
        <v>0</v>
      </c>
      <c r="DJ7" s="39">
        <v>12</v>
      </c>
      <c r="DK7" s="39">
        <v>12</v>
      </c>
      <c r="DL7" s="39">
        <v>6</v>
      </c>
      <c r="DM7" s="39">
        <v>0</v>
      </c>
      <c r="DN7" s="39">
        <v>1</v>
      </c>
      <c r="DO7" s="39">
        <v>1</v>
      </c>
      <c r="DP7" s="39">
        <v>0</v>
      </c>
      <c r="DQ7" s="39">
        <v>1</v>
      </c>
      <c r="DR7" s="39">
        <v>0</v>
      </c>
      <c r="DS7" s="39">
        <v>6</v>
      </c>
      <c r="DT7" s="39">
        <v>6</v>
      </c>
      <c r="DU7" s="39">
        <v>1</v>
      </c>
      <c r="DV7" s="39">
        <v>2</v>
      </c>
      <c r="DW7" s="39">
        <v>0</v>
      </c>
      <c r="DX7" s="39">
        <v>2</v>
      </c>
      <c r="DY7" s="39">
        <v>0</v>
      </c>
      <c r="DZ7" s="39">
        <v>7</v>
      </c>
      <c r="EA7" s="39">
        <v>5</v>
      </c>
      <c r="EB7" s="39">
        <v>4</v>
      </c>
      <c r="EC7" s="39">
        <v>0</v>
      </c>
      <c r="ED7" s="39">
        <v>1</v>
      </c>
      <c r="EE7" s="39">
        <v>1</v>
      </c>
      <c r="EF7" s="39">
        <v>0</v>
      </c>
      <c r="EG7" s="39">
        <v>1</v>
      </c>
      <c r="EH7" s="39">
        <v>0</v>
      </c>
      <c r="EI7" s="39">
        <v>2</v>
      </c>
      <c r="EJ7" s="39">
        <v>3</v>
      </c>
      <c r="EK7" s="39">
        <v>1</v>
      </c>
      <c r="EL7" s="39">
        <v>2</v>
      </c>
      <c r="EM7" s="39">
        <v>3.1</v>
      </c>
      <c r="EN7" s="39">
        <v>1.5</v>
      </c>
      <c r="EO7" s="39">
        <v>12.4</v>
      </c>
      <c r="EP7" s="39"/>
    </row>
    <row r="8" spans="1:146" x14ac:dyDescent="0.25">
      <c r="A8" s="39">
        <v>968</v>
      </c>
      <c r="B8" s="39" t="s">
        <v>219</v>
      </c>
      <c r="C8" s="39">
        <v>10</v>
      </c>
      <c r="D8" s="39">
        <v>1</v>
      </c>
      <c r="E8" s="39">
        <v>6</v>
      </c>
      <c r="F8" s="39">
        <v>3</v>
      </c>
      <c r="G8" s="39">
        <v>9</v>
      </c>
      <c r="H8" s="39">
        <v>3</v>
      </c>
      <c r="I8" s="39">
        <v>0.3</v>
      </c>
      <c r="J8" s="39">
        <v>0</v>
      </c>
      <c r="K8" s="39">
        <v>0</v>
      </c>
      <c r="L8" s="39">
        <v>75</v>
      </c>
      <c r="M8" s="39">
        <v>0.3</v>
      </c>
      <c r="N8" s="39">
        <v>0.4</v>
      </c>
      <c r="O8" s="39">
        <v>3</v>
      </c>
      <c r="P8" s="39">
        <v>4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0.4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0.3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73</v>
      </c>
      <c r="AI8" s="39">
        <v>7.3</v>
      </c>
      <c r="AJ8" s="39">
        <v>9</v>
      </c>
      <c r="AK8" s="39">
        <v>17</v>
      </c>
      <c r="AL8" s="39">
        <v>1.7</v>
      </c>
      <c r="AM8" s="39">
        <v>100</v>
      </c>
      <c r="AN8" s="39">
        <v>0.7</v>
      </c>
      <c r="AO8" s="39">
        <v>0.7</v>
      </c>
      <c r="AP8" s="39">
        <v>7</v>
      </c>
      <c r="AQ8" s="39">
        <v>7</v>
      </c>
      <c r="AR8" s="39">
        <v>18</v>
      </c>
      <c r="AS8" s="39">
        <v>1.8</v>
      </c>
      <c r="AT8" s="39">
        <v>31</v>
      </c>
      <c r="AU8" s="39">
        <v>3.1</v>
      </c>
      <c r="AV8" s="39">
        <v>100</v>
      </c>
      <c r="AW8" s="39">
        <v>0.7</v>
      </c>
      <c r="AX8" s="39">
        <v>0.7</v>
      </c>
      <c r="AY8" s="39">
        <v>7</v>
      </c>
      <c r="AZ8" s="39">
        <v>7</v>
      </c>
      <c r="BA8" s="39">
        <v>66.667000000000002</v>
      </c>
      <c r="BB8" s="39">
        <v>0.2</v>
      </c>
      <c r="BC8" s="39">
        <v>0.3</v>
      </c>
      <c r="BD8" s="39">
        <v>2</v>
      </c>
      <c r="BE8" s="39">
        <v>3</v>
      </c>
      <c r="BF8" s="39">
        <v>82.608999999999995</v>
      </c>
      <c r="BG8" s="39">
        <v>1.9</v>
      </c>
      <c r="BH8" s="39">
        <v>2.2999999999999998</v>
      </c>
      <c r="BI8" s="39">
        <v>19</v>
      </c>
      <c r="BJ8" s="39">
        <v>23</v>
      </c>
      <c r="BK8" s="39">
        <v>90.322999999999993</v>
      </c>
      <c r="BL8" s="39">
        <v>2.8</v>
      </c>
      <c r="BM8" s="39">
        <v>3.1</v>
      </c>
      <c r="BN8" s="39">
        <v>28</v>
      </c>
      <c r="BO8" s="39">
        <v>31</v>
      </c>
      <c r="BP8" s="39">
        <v>100</v>
      </c>
      <c r="BQ8" s="39">
        <v>1.2</v>
      </c>
      <c r="BR8" s="39">
        <v>1.2</v>
      </c>
      <c r="BS8" s="39">
        <v>12</v>
      </c>
      <c r="BT8" s="39">
        <v>12</v>
      </c>
      <c r="BU8" s="39">
        <v>68</v>
      </c>
      <c r="BV8" s="39">
        <v>6.8</v>
      </c>
      <c r="BW8" s="39">
        <v>9</v>
      </c>
      <c r="BX8" s="39">
        <v>0</v>
      </c>
      <c r="BY8" s="39">
        <v>0</v>
      </c>
      <c r="BZ8" s="39">
        <v>0</v>
      </c>
      <c r="CA8" s="39">
        <v>0</v>
      </c>
      <c r="CB8" s="39">
        <v>0</v>
      </c>
      <c r="CC8" s="39">
        <v>22</v>
      </c>
      <c r="CD8" s="39">
        <v>3</v>
      </c>
      <c r="CE8" s="39">
        <v>0</v>
      </c>
      <c r="CF8" s="39">
        <v>0</v>
      </c>
      <c r="CG8" s="39">
        <v>0</v>
      </c>
      <c r="CH8" s="39">
        <v>1</v>
      </c>
      <c r="CI8" s="39">
        <v>0</v>
      </c>
      <c r="CJ8" s="39">
        <v>0</v>
      </c>
      <c r="CK8" s="39">
        <v>0</v>
      </c>
      <c r="CL8" s="39">
        <v>0</v>
      </c>
      <c r="CM8" s="39">
        <v>0</v>
      </c>
      <c r="CN8" s="39">
        <v>0</v>
      </c>
      <c r="CO8" s="39">
        <v>0</v>
      </c>
      <c r="CP8" s="39">
        <v>2</v>
      </c>
      <c r="CQ8" s="39">
        <v>12</v>
      </c>
      <c r="CR8" s="39">
        <v>4.5999999999999996</v>
      </c>
      <c r="CS8" s="39">
        <v>0</v>
      </c>
      <c r="CT8" s="39">
        <v>3.75</v>
      </c>
      <c r="CU8" s="39">
        <v>8.8849999999999998</v>
      </c>
      <c r="CV8" s="39">
        <v>6.5</v>
      </c>
      <c r="CW8" s="39">
        <v>6.25</v>
      </c>
      <c r="CX8" s="39">
        <v>0</v>
      </c>
      <c r="CY8" s="39">
        <v>8.25</v>
      </c>
      <c r="CZ8" s="39">
        <v>0</v>
      </c>
      <c r="DA8" s="39">
        <v>0</v>
      </c>
      <c r="DB8" s="39">
        <v>0</v>
      </c>
      <c r="DC8" s="39">
        <v>7.7779999999999996</v>
      </c>
      <c r="DD8" s="39">
        <v>0</v>
      </c>
      <c r="DE8" s="39">
        <v>0</v>
      </c>
      <c r="DF8" s="39">
        <v>6.5359999999999996</v>
      </c>
      <c r="DG8" s="39">
        <v>2</v>
      </c>
      <c r="DH8" s="39">
        <v>5</v>
      </c>
      <c r="DI8" s="39">
        <v>0</v>
      </c>
      <c r="DJ8" s="39">
        <v>3</v>
      </c>
      <c r="DK8" s="39">
        <v>26</v>
      </c>
      <c r="DL8" s="39">
        <v>2</v>
      </c>
      <c r="DM8" s="39">
        <v>4</v>
      </c>
      <c r="DN8" s="39">
        <v>0</v>
      </c>
      <c r="DO8" s="39">
        <v>4</v>
      </c>
      <c r="DP8" s="39">
        <v>0</v>
      </c>
      <c r="DQ8" s="39">
        <v>0</v>
      </c>
      <c r="DR8" s="39">
        <v>0</v>
      </c>
      <c r="DS8" s="39">
        <v>11</v>
      </c>
      <c r="DT8" s="39">
        <v>0</v>
      </c>
      <c r="DU8" s="39">
        <v>0</v>
      </c>
      <c r="DV8" s="39">
        <v>9</v>
      </c>
      <c r="DW8" s="39">
        <v>1</v>
      </c>
      <c r="DX8" s="39">
        <v>5</v>
      </c>
      <c r="DY8" s="39">
        <v>0</v>
      </c>
      <c r="DZ8" s="39">
        <v>2</v>
      </c>
      <c r="EA8" s="39">
        <v>5</v>
      </c>
      <c r="EB8" s="39">
        <v>1</v>
      </c>
      <c r="EC8" s="39">
        <v>4</v>
      </c>
      <c r="ED8" s="39">
        <v>0</v>
      </c>
      <c r="EE8" s="39">
        <v>4</v>
      </c>
      <c r="EF8" s="39">
        <v>0</v>
      </c>
      <c r="EG8" s="39">
        <v>0</v>
      </c>
      <c r="EH8" s="39">
        <v>0</v>
      </c>
      <c r="EI8" s="39">
        <v>3</v>
      </c>
      <c r="EJ8" s="39">
        <v>0</v>
      </c>
      <c r="EK8" s="39">
        <v>0</v>
      </c>
      <c r="EL8" s="39">
        <v>7</v>
      </c>
      <c r="EM8" s="39">
        <v>3.8</v>
      </c>
      <c r="EN8" s="39">
        <v>0</v>
      </c>
      <c r="EO8" s="39">
        <v>14.1</v>
      </c>
      <c r="EP8" s="39"/>
    </row>
    <row r="9" spans="1:146" x14ac:dyDescent="0.25">
      <c r="A9" s="39">
        <v>971</v>
      </c>
      <c r="B9" s="39" t="s">
        <v>220</v>
      </c>
      <c r="C9" s="39">
        <v>10</v>
      </c>
      <c r="D9" s="39">
        <v>9</v>
      </c>
      <c r="E9" s="39">
        <v>1</v>
      </c>
      <c r="F9" s="39">
        <v>0</v>
      </c>
      <c r="G9" s="39">
        <v>10</v>
      </c>
      <c r="H9" s="39">
        <v>0</v>
      </c>
      <c r="I9" s="39">
        <v>0</v>
      </c>
      <c r="J9" s="39">
        <v>4</v>
      </c>
      <c r="K9" s="39">
        <v>0.4</v>
      </c>
      <c r="L9" s="39">
        <v>80</v>
      </c>
      <c r="M9" s="39">
        <v>0.4</v>
      </c>
      <c r="N9" s="39">
        <v>0.5</v>
      </c>
      <c r="O9" s="39">
        <v>4</v>
      </c>
      <c r="P9" s="39">
        <v>5</v>
      </c>
      <c r="Q9" s="39">
        <v>90</v>
      </c>
      <c r="R9" s="39">
        <v>0.9</v>
      </c>
      <c r="S9" s="39">
        <v>1</v>
      </c>
      <c r="T9" s="39">
        <v>9</v>
      </c>
      <c r="U9" s="39">
        <v>10</v>
      </c>
      <c r="V9" s="39">
        <v>0.1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0.2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67</v>
      </c>
      <c r="AI9" s="39">
        <v>6.7</v>
      </c>
      <c r="AJ9" s="39">
        <v>8</v>
      </c>
      <c r="AK9" s="39">
        <v>15</v>
      </c>
      <c r="AL9" s="39">
        <v>1.5</v>
      </c>
      <c r="AM9" s="39">
        <v>100</v>
      </c>
      <c r="AN9" s="39">
        <v>0.4</v>
      </c>
      <c r="AO9" s="39">
        <v>0.4</v>
      </c>
      <c r="AP9" s="39">
        <v>4</v>
      </c>
      <c r="AQ9" s="39">
        <v>4</v>
      </c>
      <c r="AR9" s="39">
        <v>14</v>
      </c>
      <c r="AS9" s="39">
        <v>1.4</v>
      </c>
      <c r="AT9" s="39">
        <v>34</v>
      </c>
      <c r="AU9" s="39">
        <v>3.4</v>
      </c>
      <c r="AV9" s="39">
        <v>100</v>
      </c>
      <c r="AW9" s="39">
        <v>1.4</v>
      </c>
      <c r="AX9" s="39">
        <v>1.4</v>
      </c>
      <c r="AY9" s="39">
        <v>14</v>
      </c>
      <c r="AZ9" s="39">
        <v>14</v>
      </c>
      <c r="BA9" s="39">
        <v>33.332999999999998</v>
      </c>
      <c r="BB9" s="39">
        <v>0.1</v>
      </c>
      <c r="BC9" s="39">
        <v>0.3</v>
      </c>
      <c r="BD9" s="39">
        <v>1</v>
      </c>
      <c r="BE9" s="39">
        <v>3</v>
      </c>
      <c r="BF9" s="39">
        <v>85.713999999999999</v>
      </c>
      <c r="BG9" s="39">
        <v>0.6</v>
      </c>
      <c r="BH9" s="39">
        <v>0.7</v>
      </c>
      <c r="BI9" s="39">
        <v>6</v>
      </c>
      <c r="BJ9" s="39">
        <v>7</v>
      </c>
      <c r="BK9" s="39">
        <v>94.872</v>
      </c>
      <c r="BL9" s="39">
        <v>3.7</v>
      </c>
      <c r="BM9" s="39">
        <v>3.9</v>
      </c>
      <c r="BN9" s="39">
        <v>37</v>
      </c>
      <c r="BO9" s="39">
        <v>39</v>
      </c>
      <c r="BP9" s="39">
        <v>100</v>
      </c>
      <c r="BQ9" s="39">
        <v>0.3</v>
      </c>
      <c r="BR9" s="39">
        <v>0.3</v>
      </c>
      <c r="BS9" s="39">
        <v>3</v>
      </c>
      <c r="BT9" s="39">
        <v>3</v>
      </c>
      <c r="BU9" s="39">
        <v>61</v>
      </c>
      <c r="BV9" s="39">
        <v>6.1</v>
      </c>
      <c r="BW9" s="39">
        <v>8</v>
      </c>
      <c r="BX9" s="39">
        <v>2</v>
      </c>
      <c r="BY9" s="39">
        <v>0.2</v>
      </c>
      <c r="BZ9" s="39">
        <v>0</v>
      </c>
      <c r="CA9" s="39">
        <v>0</v>
      </c>
      <c r="CB9" s="39">
        <v>0</v>
      </c>
      <c r="CC9" s="39">
        <v>22</v>
      </c>
      <c r="CD9" s="39">
        <v>1</v>
      </c>
      <c r="CE9" s="39">
        <v>0</v>
      </c>
      <c r="CF9" s="39">
        <v>80</v>
      </c>
      <c r="CG9" s="39">
        <v>4</v>
      </c>
      <c r="CH9" s="39">
        <v>5</v>
      </c>
      <c r="CI9" s="39">
        <v>60</v>
      </c>
      <c r="CJ9" s="39">
        <v>3</v>
      </c>
      <c r="CK9" s="39">
        <v>5</v>
      </c>
      <c r="CL9" s="39">
        <v>0</v>
      </c>
      <c r="CM9" s="39">
        <v>0</v>
      </c>
      <c r="CN9" s="39">
        <v>0</v>
      </c>
      <c r="CO9" s="39">
        <v>0</v>
      </c>
      <c r="CP9" s="39">
        <v>0</v>
      </c>
      <c r="CQ9" s="39">
        <v>8.8330000000000002</v>
      </c>
      <c r="CR9" s="39">
        <v>5.8890000000000002</v>
      </c>
      <c r="CS9" s="39">
        <v>0</v>
      </c>
      <c r="CT9" s="39">
        <v>9</v>
      </c>
      <c r="CU9" s="39">
        <v>5.5519999999999996</v>
      </c>
      <c r="CV9" s="39">
        <v>9.3889999999999993</v>
      </c>
      <c r="CW9" s="39">
        <v>0</v>
      </c>
      <c r="CX9" s="39">
        <v>0</v>
      </c>
      <c r="CY9" s="39">
        <v>5.25</v>
      </c>
      <c r="CZ9" s="39">
        <v>0</v>
      </c>
      <c r="DA9" s="39">
        <v>8.3330000000000002</v>
      </c>
      <c r="DB9" s="39">
        <v>0</v>
      </c>
      <c r="DC9" s="39">
        <v>14.75</v>
      </c>
      <c r="DD9" s="39">
        <v>3.5</v>
      </c>
      <c r="DE9" s="39">
        <v>3</v>
      </c>
      <c r="DF9" s="39">
        <v>14</v>
      </c>
      <c r="DG9" s="39">
        <v>4</v>
      </c>
      <c r="DH9" s="39">
        <v>6</v>
      </c>
      <c r="DI9" s="39">
        <v>0</v>
      </c>
      <c r="DJ9" s="39">
        <v>1</v>
      </c>
      <c r="DK9" s="39">
        <v>29</v>
      </c>
      <c r="DL9" s="39">
        <v>7</v>
      </c>
      <c r="DM9" s="39">
        <v>0</v>
      </c>
      <c r="DN9" s="39">
        <v>0</v>
      </c>
      <c r="DO9" s="39">
        <v>3</v>
      </c>
      <c r="DP9" s="39">
        <v>0</v>
      </c>
      <c r="DQ9" s="39">
        <v>3</v>
      </c>
      <c r="DR9" s="39">
        <v>0</v>
      </c>
      <c r="DS9" s="39">
        <v>8</v>
      </c>
      <c r="DT9" s="39">
        <v>2</v>
      </c>
      <c r="DU9" s="39">
        <v>1</v>
      </c>
      <c r="DV9" s="39">
        <v>1</v>
      </c>
      <c r="DW9" s="39">
        <v>2</v>
      </c>
      <c r="DX9" s="39">
        <v>3</v>
      </c>
      <c r="DY9" s="39">
        <v>0</v>
      </c>
      <c r="DZ9" s="39">
        <v>1</v>
      </c>
      <c r="EA9" s="39">
        <v>5</v>
      </c>
      <c r="EB9" s="39">
        <v>3</v>
      </c>
      <c r="EC9" s="39">
        <v>0</v>
      </c>
      <c r="ED9" s="39">
        <v>0</v>
      </c>
      <c r="EE9" s="39">
        <v>2</v>
      </c>
      <c r="EF9" s="39">
        <v>0</v>
      </c>
      <c r="EG9" s="39">
        <v>3</v>
      </c>
      <c r="EH9" s="39">
        <v>0</v>
      </c>
      <c r="EI9" s="39">
        <v>2</v>
      </c>
      <c r="EJ9" s="39">
        <v>2</v>
      </c>
      <c r="EK9" s="39">
        <v>1</v>
      </c>
      <c r="EL9" s="39">
        <v>1</v>
      </c>
      <c r="EM9" s="39">
        <v>3.7</v>
      </c>
      <c r="EN9" s="39">
        <v>2</v>
      </c>
      <c r="EO9" s="39">
        <v>12.8</v>
      </c>
      <c r="EP9" s="39"/>
    </row>
    <row r="10" spans="1:146" ht="15.75" thickBot="1" x14ac:dyDescent="0.3">
      <c r="A10" s="39">
        <v>1011</v>
      </c>
      <c r="B10" s="39" t="s">
        <v>221</v>
      </c>
      <c r="C10" s="39">
        <v>10</v>
      </c>
      <c r="D10" s="39">
        <v>0</v>
      </c>
      <c r="E10" s="39">
        <v>10</v>
      </c>
      <c r="F10" s="39">
        <v>0</v>
      </c>
      <c r="G10" s="39">
        <v>9</v>
      </c>
      <c r="H10" s="39">
        <v>8</v>
      </c>
      <c r="I10" s="39">
        <v>0.8</v>
      </c>
      <c r="J10" s="39">
        <v>0</v>
      </c>
      <c r="K10" s="39">
        <v>0</v>
      </c>
      <c r="L10" s="39">
        <v>93.332999999999998</v>
      </c>
      <c r="M10" s="39">
        <v>1.4</v>
      </c>
      <c r="N10" s="39">
        <v>1.5</v>
      </c>
      <c r="O10" s="39">
        <v>14</v>
      </c>
      <c r="P10" s="39">
        <v>15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99</v>
      </c>
      <c r="AI10" s="39">
        <v>9.9</v>
      </c>
      <c r="AJ10" s="39">
        <v>15</v>
      </c>
      <c r="AK10" s="39">
        <v>21</v>
      </c>
      <c r="AL10" s="39">
        <v>2.1</v>
      </c>
      <c r="AM10" s="39">
        <v>100</v>
      </c>
      <c r="AN10" s="39">
        <v>2.2000000000000002</v>
      </c>
      <c r="AO10" s="39">
        <v>2.2000000000000002</v>
      </c>
      <c r="AP10" s="39">
        <v>22</v>
      </c>
      <c r="AQ10" s="39">
        <v>22</v>
      </c>
      <c r="AR10" s="39">
        <v>46</v>
      </c>
      <c r="AS10" s="39">
        <v>4.5999999999999996</v>
      </c>
      <c r="AT10" s="39">
        <v>10</v>
      </c>
      <c r="AU10" s="39">
        <v>1</v>
      </c>
      <c r="AV10" s="39">
        <v>100</v>
      </c>
      <c r="AW10" s="39">
        <v>1.1000000000000001</v>
      </c>
      <c r="AX10" s="39">
        <v>1.1000000000000001</v>
      </c>
      <c r="AY10" s="39">
        <v>11</v>
      </c>
      <c r="AZ10" s="39">
        <v>11</v>
      </c>
      <c r="BA10" s="39">
        <v>83.332999999999998</v>
      </c>
      <c r="BB10" s="39">
        <v>3</v>
      </c>
      <c r="BC10" s="39">
        <v>3.6</v>
      </c>
      <c r="BD10" s="39">
        <v>30</v>
      </c>
      <c r="BE10" s="39">
        <v>36</v>
      </c>
      <c r="BF10" s="39">
        <v>0</v>
      </c>
      <c r="BG10" s="39">
        <v>0</v>
      </c>
      <c r="BH10" s="39">
        <v>0</v>
      </c>
      <c r="BI10" s="39">
        <v>0</v>
      </c>
      <c r="BJ10" s="39">
        <v>0</v>
      </c>
      <c r="BK10" s="39">
        <v>0</v>
      </c>
      <c r="BL10" s="39">
        <v>0</v>
      </c>
      <c r="BM10" s="39">
        <v>0</v>
      </c>
      <c r="BN10" s="39">
        <v>0</v>
      </c>
      <c r="BO10" s="39">
        <v>0</v>
      </c>
      <c r="BP10" s="39">
        <v>94.117999999999995</v>
      </c>
      <c r="BQ10" s="39">
        <v>4.8</v>
      </c>
      <c r="BR10" s="39">
        <v>5.0999999999999996</v>
      </c>
      <c r="BS10" s="39">
        <v>48</v>
      </c>
      <c r="BT10" s="39">
        <v>51</v>
      </c>
      <c r="BU10" s="39">
        <v>89</v>
      </c>
      <c r="BV10" s="39">
        <v>8.9</v>
      </c>
      <c r="BW10" s="39">
        <v>15</v>
      </c>
      <c r="BX10" s="39">
        <v>2</v>
      </c>
      <c r="BY10" s="39">
        <v>0.2</v>
      </c>
      <c r="BZ10" s="39">
        <v>0</v>
      </c>
      <c r="CA10" s="39">
        <v>0</v>
      </c>
      <c r="CB10" s="39">
        <v>0</v>
      </c>
      <c r="CC10" s="39">
        <v>0</v>
      </c>
      <c r="CD10" s="39">
        <v>0</v>
      </c>
      <c r="CE10" s="39">
        <v>0</v>
      </c>
      <c r="CF10" s="39">
        <v>0</v>
      </c>
      <c r="CG10" s="39">
        <v>0</v>
      </c>
      <c r="CH10" s="39">
        <v>0</v>
      </c>
      <c r="CI10" s="39">
        <v>0</v>
      </c>
      <c r="CJ10" s="39">
        <v>0</v>
      </c>
      <c r="CK10" s="39">
        <v>0</v>
      </c>
      <c r="CL10" s="39">
        <v>0</v>
      </c>
      <c r="CM10" s="39">
        <v>0</v>
      </c>
      <c r="CN10" s="39">
        <v>0</v>
      </c>
      <c r="CO10" s="39">
        <v>0</v>
      </c>
      <c r="CP10" s="39">
        <v>1</v>
      </c>
      <c r="CQ10" s="39">
        <v>0</v>
      </c>
      <c r="CR10" s="39">
        <v>2</v>
      </c>
      <c r="CS10" s="39">
        <v>7</v>
      </c>
      <c r="CT10" s="39">
        <v>3.2290000000000001</v>
      </c>
      <c r="CU10" s="39">
        <v>0</v>
      </c>
      <c r="CV10" s="39">
        <v>0</v>
      </c>
      <c r="CW10" s="39">
        <v>4.5</v>
      </c>
      <c r="CX10" s="39">
        <v>4</v>
      </c>
      <c r="CY10" s="39">
        <v>0</v>
      </c>
      <c r="CZ10" s="39">
        <v>12.5</v>
      </c>
      <c r="DA10" s="39">
        <v>5.4669999999999996</v>
      </c>
      <c r="DB10" s="39">
        <v>14</v>
      </c>
      <c r="DC10" s="39">
        <v>0</v>
      </c>
      <c r="DD10" s="39">
        <v>0</v>
      </c>
      <c r="DE10" s="39">
        <v>5.625</v>
      </c>
      <c r="DF10" s="39">
        <v>4</v>
      </c>
      <c r="DG10" s="39">
        <v>0</v>
      </c>
      <c r="DH10" s="39">
        <v>1</v>
      </c>
      <c r="DI10" s="39">
        <v>1</v>
      </c>
      <c r="DJ10" s="39">
        <v>47</v>
      </c>
      <c r="DK10" s="39">
        <v>0</v>
      </c>
      <c r="DL10" s="39">
        <v>0</v>
      </c>
      <c r="DM10" s="39">
        <v>12</v>
      </c>
      <c r="DN10" s="39">
        <v>1</v>
      </c>
      <c r="DO10" s="39">
        <v>0</v>
      </c>
      <c r="DP10" s="39">
        <v>2</v>
      </c>
      <c r="DQ10" s="39">
        <v>15</v>
      </c>
      <c r="DR10" s="39">
        <v>1</v>
      </c>
      <c r="DS10" s="39">
        <v>0</v>
      </c>
      <c r="DT10" s="39">
        <v>0</v>
      </c>
      <c r="DU10" s="39">
        <v>14</v>
      </c>
      <c r="DV10" s="39">
        <v>3</v>
      </c>
      <c r="DW10" s="39">
        <v>0</v>
      </c>
      <c r="DX10" s="39">
        <v>1</v>
      </c>
      <c r="DY10" s="39">
        <v>1</v>
      </c>
      <c r="DZ10" s="39">
        <v>10</v>
      </c>
      <c r="EA10" s="39">
        <v>0</v>
      </c>
      <c r="EB10" s="39">
        <v>0</v>
      </c>
      <c r="EC10" s="39">
        <v>3</v>
      </c>
      <c r="ED10" s="39">
        <v>1</v>
      </c>
      <c r="EE10" s="39">
        <v>0</v>
      </c>
      <c r="EF10" s="39">
        <v>1</v>
      </c>
      <c r="EG10" s="39">
        <v>6</v>
      </c>
      <c r="EH10" s="39">
        <v>1</v>
      </c>
      <c r="EI10" s="39">
        <v>0</v>
      </c>
      <c r="EJ10" s="39">
        <v>0</v>
      </c>
      <c r="EK10" s="39">
        <v>6</v>
      </c>
      <c r="EL10" s="39">
        <v>1</v>
      </c>
      <c r="EM10" s="39">
        <v>3.6</v>
      </c>
      <c r="EN10" s="39">
        <v>3.25</v>
      </c>
      <c r="EO10" s="39">
        <v>18.8</v>
      </c>
      <c r="EP10" s="39"/>
    </row>
    <row r="11" spans="1:146" x14ac:dyDescent="0.25">
      <c r="A11" s="34">
        <v>1251</v>
      </c>
      <c r="B11" s="34" t="s">
        <v>301</v>
      </c>
      <c r="C11" s="34">
        <v>9</v>
      </c>
      <c r="D11" s="34">
        <v>2</v>
      </c>
      <c r="E11" s="34">
        <v>6</v>
      </c>
      <c r="F11" s="34">
        <v>1</v>
      </c>
      <c r="G11" s="34">
        <v>9</v>
      </c>
      <c r="H11" s="34">
        <v>3</v>
      </c>
      <c r="I11" s="34">
        <v>0.33300000000000002</v>
      </c>
      <c r="J11" s="34">
        <v>0</v>
      </c>
      <c r="K11" s="34">
        <v>0</v>
      </c>
      <c r="L11" s="34">
        <v>63.655000000000001</v>
      </c>
      <c r="M11" s="34">
        <v>0.77800000000000002</v>
      </c>
      <c r="N11" s="34">
        <v>1.222</v>
      </c>
      <c r="O11" s="34">
        <v>7</v>
      </c>
      <c r="P11" s="34">
        <v>11</v>
      </c>
      <c r="Q11" s="34">
        <v>0</v>
      </c>
      <c r="R11" s="34">
        <v>0</v>
      </c>
      <c r="S11" s="34">
        <v>0</v>
      </c>
      <c r="T11" s="34">
        <v>0</v>
      </c>
      <c r="U11" s="34">
        <v>0</v>
      </c>
      <c r="V11" s="34">
        <v>0.222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  <c r="AB11" s="34">
        <v>0.44400000000000001</v>
      </c>
      <c r="AC11" s="34">
        <v>0</v>
      </c>
      <c r="AD11" s="34">
        <v>0</v>
      </c>
      <c r="AE11" s="34">
        <v>0</v>
      </c>
      <c r="AF11" s="34">
        <v>0</v>
      </c>
      <c r="AG11" s="34">
        <v>0</v>
      </c>
      <c r="AH11" s="34">
        <v>46</v>
      </c>
      <c r="AI11" s="34">
        <v>5.1109999999999998</v>
      </c>
      <c r="AJ11" s="34">
        <v>7</v>
      </c>
      <c r="AK11" s="34">
        <v>17</v>
      </c>
      <c r="AL11" s="34">
        <v>1.889</v>
      </c>
      <c r="AM11" s="34">
        <v>100</v>
      </c>
      <c r="AN11" s="34">
        <v>0.222</v>
      </c>
      <c r="AO11" s="34">
        <v>0.222</v>
      </c>
      <c r="AP11" s="34">
        <v>2</v>
      </c>
      <c r="AQ11" s="34">
        <v>2</v>
      </c>
      <c r="AR11" s="34">
        <v>5</v>
      </c>
      <c r="AS11" s="34">
        <v>0.55600000000000005</v>
      </c>
      <c r="AT11" s="34">
        <v>22</v>
      </c>
      <c r="AU11" s="34">
        <v>2.444</v>
      </c>
      <c r="AV11" s="34">
        <v>100</v>
      </c>
      <c r="AW11" s="34">
        <v>0.55600000000000005</v>
      </c>
      <c r="AX11" s="34">
        <v>0.55600000000000005</v>
      </c>
      <c r="AY11" s="34">
        <v>5</v>
      </c>
      <c r="AZ11" s="34">
        <v>5</v>
      </c>
      <c r="BA11" s="34">
        <v>90.909000000000006</v>
      </c>
      <c r="BB11" s="34">
        <v>1.111</v>
      </c>
      <c r="BC11" s="34">
        <v>1.222</v>
      </c>
      <c r="BD11" s="34">
        <v>10</v>
      </c>
      <c r="BE11" s="34">
        <v>11</v>
      </c>
      <c r="BF11" s="34">
        <v>86.667000000000002</v>
      </c>
      <c r="BG11" s="34">
        <v>1.444</v>
      </c>
      <c r="BH11" s="34">
        <v>1.667</v>
      </c>
      <c r="BI11" s="34">
        <v>13</v>
      </c>
      <c r="BJ11" s="34">
        <v>15</v>
      </c>
      <c r="BK11" s="34">
        <v>71.429000000000002</v>
      </c>
      <c r="BL11" s="34">
        <v>1.111</v>
      </c>
      <c r="BM11" s="34">
        <v>1.556</v>
      </c>
      <c r="BN11" s="34">
        <v>10</v>
      </c>
      <c r="BO11" s="34">
        <v>14</v>
      </c>
      <c r="BP11" s="34">
        <v>100</v>
      </c>
      <c r="BQ11" s="34">
        <v>0.33300000000000002</v>
      </c>
      <c r="BR11" s="34">
        <v>0.33300000000000002</v>
      </c>
      <c r="BS11" s="34">
        <v>3</v>
      </c>
      <c r="BT11" s="34">
        <v>3</v>
      </c>
      <c r="BU11" s="34">
        <v>41</v>
      </c>
      <c r="BV11" s="34">
        <v>4.556</v>
      </c>
      <c r="BW11" s="34">
        <v>7</v>
      </c>
      <c r="BX11" s="34">
        <v>5</v>
      </c>
      <c r="BY11" s="34">
        <v>0.55600000000000005</v>
      </c>
      <c r="BZ11" s="34">
        <v>0</v>
      </c>
      <c r="CA11" s="34">
        <v>0</v>
      </c>
      <c r="CB11" s="34">
        <v>0</v>
      </c>
      <c r="CC11" s="34">
        <v>11</v>
      </c>
      <c r="CD11" s="34">
        <v>2</v>
      </c>
      <c r="CE11" s="34">
        <v>0</v>
      </c>
      <c r="CF11" s="34">
        <v>66.667000000000002</v>
      </c>
      <c r="CG11" s="34">
        <v>2</v>
      </c>
      <c r="CH11" s="34">
        <v>3</v>
      </c>
      <c r="CI11" s="34">
        <v>0</v>
      </c>
      <c r="CJ11" s="34">
        <v>0</v>
      </c>
      <c r="CK11" s="34">
        <v>0</v>
      </c>
      <c r="CL11" s="34">
        <v>0</v>
      </c>
      <c r="CM11" s="34">
        <v>0</v>
      </c>
      <c r="CN11" s="34">
        <v>0</v>
      </c>
      <c r="CO11" s="34">
        <v>0</v>
      </c>
      <c r="CP11" s="34">
        <v>1</v>
      </c>
      <c r="CQ11" s="34">
        <v>13.667</v>
      </c>
      <c r="CR11" s="34">
        <v>0</v>
      </c>
      <c r="CS11" s="34">
        <v>0</v>
      </c>
      <c r="CT11" s="34">
        <v>11.75</v>
      </c>
      <c r="CU11" s="34">
        <v>11.733000000000001</v>
      </c>
      <c r="CV11" s="34">
        <v>4.6669999999999998</v>
      </c>
      <c r="CW11" s="34">
        <v>7.75</v>
      </c>
      <c r="CX11" s="34">
        <v>0</v>
      </c>
      <c r="CY11" s="34">
        <v>6.25</v>
      </c>
      <c r="CZ11" s="34">
        <v>0</v>
      </c>
      <c r="DA11" s="34">
        <v>5</v>
      </c>
      <c r="DB11" s="34">
        <v>0</v>
      </c>
      <c r="DC11" s="34">
        <v>6.1669999999999998</v>
      </c>
      <c r="DD11" s="34">
        <v>18</v>
      </c>
      <c r="DE11" s="34">
        <v>24.5</v>
      </c>
      <c r="DF11" s="34">
        <v>0</v>
      </c>
      <c r="DG11" s="34">
        <v>3</v>
      </c>
      <c r="DH11" s="34">
        <v>0</v>
      </c>
      <c r="DI11" s="34">
        <v>0</v>
      </c>
      <c r="DJ11" s="34">
        <v>3</v>
      </c>
      <c r="DK11" s="34">
        <v>14</v>
      </c>
      <c r="DL11" s="34">
        <v>3</v>
      </c>
      <c r="DM11" s="34">
        <v>7</v>
      </c>
      <c r="DN11" s="34">
        <v>0</v>
      </c>
      <c r="DO11" s="34">
        <v>3</v>
      </c>
      <c r="DP11" s="34">
        <v>0</v>
      </c>
      <c r="DQ11" s="34">
        <v>1</v>
      </c>
      <c r="DR11" s="34">
        <v>0</v>
      </c>
      <c r="DS11" s="34">
        <v>5</v>
      </c>
      <c r="DT11" s="34">
        <v>1</v>
      </c>
      <c r="DU11" s="34">
        <v>2</v>
      </c>
      <c r="DV11" s="34">
        <v>0</v>
      </c>
      <c r="DW11" s="34">
        <v>1</v>
      </c>
      <c r="DX11" s="34">
        <v>0</v>
      </c>
      <c r="DY11" s="34">
        <v>0</v>
      </c>
      <c r="DZ11" s="34">
        <v>2</v>
      </c>
      <c r="EA11" s="34">
        <v>5</v>
      </c>
      <c r="EB11" s="34">
        <v>3</v>
      </c>
      <c r="EC11" s="34">
        <v>4</v>
      </c>
      <c r="ED11" s="34">
        <v>0</v>
      </c>
      <c r="EE11" s="34">
        <v>2</v>
      </c>
      <c r="EF11" s="34">
        <v>0</v>
      </c>
      <c r="EG11" s="34">
        <v>1</v>
      </c>
      <c r="EH11" s="34">
        <v>0</v>
      </c>
      <c r="EI11" s="34">
        <v>2</v>
      </c>
      <c r="EJ11" s="34">
        <v>1</v>
      </c>
      <c r="EK11" s="34">
        <v>1</v>
      </c>
      <c r="EL11" s="34">
        <v>0</v>
      </c>
      <c r="EM11" s="34">
        <v>3.3330000000000002</v>
      </c>
      <c r="EN11" s="34">
        <v>2</v>
      </c>
      <c r="EO11" s="34">
        <v>9.6669999999999998</v>
      </c>
      <c r="EP11" s="39">
        <v>9.6669999999999998</v>
      </c>
    </row>
    <row r="12" spans="1:146" x14ac:dyDescent="0.25">
      <c r="A12" s="39">
        <v>1619</v>
      </c>
      <c r="B12" s="39" t="s">
        <v>222</v>
      </c>
      <c r="C12" s="39">
        <v>11</v>
      </c>
      <c r="D12" s="39">
        <v>4</v>
      </c>
      <c r="E12" s="39">
        <v>7</v>
      </c>
      <c r="F12" s="39">
        <v>0</v>
      </c>
      <c r="G12" s="39">
        <v>11</v>
      </c>
      <c r="H12" s="39">
        <v>5</v>
      </c>
      <c r="I12" s="39">
        <v>0.45500000000000002</v>
      </c>
      <c r="J12" s="39">
        <v>6</v>
      </c>
      <c r="K12" s="39">
        <v>0.54500000000000004</v>
      </c>
      <c r="L12" s="39">
        <v>100.008</v>
      </c>
      <c r="M12" s="39">
        <v>1.091</v>
      </c>
      <c r="N12" s="39">
        <v>1.091</v>
      </c>
      <c r="O12" s="39">
        <v>12</v>
      </c>
      <c r="P12" s="39">
        <v>12</v>
      </c>
      <c r="Q12" s="39">
        <v>66.667000000000002</v>
      </c>
      <c r="R12" s="39">
        <v>0.54500000000000004</v>
      </c>
      <c r="S12" s="39">
        <v>0.81799999999999995</v>
      </c>
      <c r="T12" s="39">
        <v>6</v>
      </c>
      <c r="U12" s="39">
        <v>9</v>
      </c>
      <c r="V12" s="39">
        <v>0.54500000000000004</v>
      </c>
      <c r="W12" s="39">
        <v>0</v>
      </c>
      <c r="X12" s="39">
        <v>0</v>
      </c>
      <c r="Y12" s="39">
        <v>0</v>
      </c>
      <c r="Z12" s="39">
        <v>0</v>
      </c>
      <c r="AA12" s="39">
        <v>0</v>
      </c>
      <c r="AB12" s="39">
        <v>0</v>
      </c>
      <c r="AC12" s="39">
        <v>0</v>
      </c>
      <c r="AD12" s="39">
        <v>0</v>
      </c>
      <c r="AE12" s="39">
        <v>0</v>
      </c>
      <c r="AF12" s="39">
        <v>0</v>
      </c>
      <c r="AG12" s="39">
        <v>0</v>
      </c>
      <c r="AH12" s="39">
        <v>81</v>
      </c>
      <c r="AI12" s="39">
        <v>7.3639999999999999</v>
      </c>
      <c r="AJ12" s="39">
        <v>9</v>
      </c>
      <c r="AK12" s="39">
        <v>16</v>
      </c>
      <c r="AL12" s="39">
        <v>1.4550000000000001</v>
      </c>
      <c r="AM12" s="39">
        <v>100</v>
      </c>
      <c r="AN12" s="39">
        <v>1</v>
      </c>
      <c r="AO12" s="39">
        <v>1</v>
      </c>
      <c r="AP12" s="39">
        <v>11</v>
      </c>
      <c r="AQ12" s="39">
        <v>11</v>
      </c>
      <c r="AR12" s="39">
        <v>9</v>
      </c>
      <c r="AS12" s="39">
        <v>0.81799999999999995</v>
      </c>
      <c r="AT12" s="39">
        <v>45</v>
      </c>
      <c r="AU12" s="39">
        <v>4.0910000000000002</v>
      </c>
      <c r="AV12" s="39">
        <v>100</v>
      </c>
      <c r="AW12" s="39">
        <v>0.36399999999999999</v>
      </c>
      <c r="AX12" s="39">
        <v>0.36399999999999999</v>
      </c>
      <c r="AY12" s="39">
        <v>4</v>
      </c>
      <c r="AZ12" s="39">
        <v>4</v>
      </c>
      <c r="BA12" s="39">
        <v>89.474000000000004</v>
      </c>
      <c r="BB12" s="39">
        <v>1.5449999999999999</v>
      </c>
      <c r="BC12" s="39">
        <v>1.7270000000000001</v>
      </c>
      <c r="BD12" s="39">
        <v>17</v>
      </c>
      <c r="BE12" s="39">
        <v>19</v>
      </c>
      <c r="BF12" s="39">
        <v>80.644999999999996</v>
      </c>
      <c r="BG12" s="39">
        <v>2.2730000000000001</v>
      </c>
      <c r="BH12" s="39">
        <v>2.8180000000000001</v>
      </c>
      <c r="BI12" s="39">
        <v>25</v>
      </c>
      <c r="BJ12" s="39">
        <v>31</v>
      </c>
      <c r="BK12" s="39">
        <v>100</v>
      </c>
      <c r="BL12" s="39">
        <v>2.0910000000000002</v>
      </c>
      <c r="BM12" s="39">
        <v>2.0910000000000002</v>
      </c>
      <c r="BN12" s="39">
        <v>23</v>
      </c>
      <c r="BO12" s="39">
        <v>23</v>
      </c>
      <c r="BP12" s="39">
        <v>100</v>
      </c>
      <c r="BQ12" s="39">
        <v>0.54500000000000004</v>
      </c>
      <c r="BR12" s="39">
        <v>0.54500000000000004</v>
      </c>
      <c r="BS12" s="39">
        <v>6</v>
      </c>
      <c r="BT12" s="39">
        <v>6</v>
      </c>
      <c r="BU12" s="39">
        <v>75</v>
      </c>
      <c r="BV12" s="39">
        <v>6.8179999999999996</v>
      </c>
      <c r="BW12" s="39">
        <v>8</v>
      </c>
      <c r="BX12" s="39">
        <v>1</v>
      </c>
      <c r="BY12" s="39">
        <v>9.0999999999999998E-2</v>
      </c>
      <c r="BZ12" s="39">
        <v>0</v>
      </c>
      <c r="CA12" s="39">
        <v>0</v>
      </c>
      <c r="CB12" s="39">
        <v>0</v>
      </c>
      <c r="CC12" s="39">
        <v>22</v>
      </c>
      <c r="CD12" s="39">
        <v>4</v>
      </c>
      <c r="CE12" s="39">
        <v>0</v>
      </c>
      <c r="CF12" s="39">
        <v>90</v>
      </c>
      <c r="CG12" s="39">
        <v>9</v>
      </c>
      <c r="CH12" s="39">
        <v>10</v>
      </c>
      <c r="CI12" s="39">
        <v>87.5</v>
      </c>
      <c r="CJ12" s="39">
        <v>7</v>
      </c>
      <c r="CK12" s="39">
        <v>8</v>
      </c>
      <c r="CL12" s="39">
        <v>0</v>
      </c>
      <c r="CM12" s="39">
        <v>0</v>
      </c>
      <c r="CN12" s="39">
        <v>0</v>
      </c>
      <c r="CO12" s="39">
        <v>0</v>
      </c>
      <c r="CP12" s="39">
        <v>0</v>
      </c>
      <c r="CQ12" s="39">
        <v>0</v>
      </c>
      <c r="CR12" s="39">
        <v>2.6669999999999998</v>
      </c>
      <c r="CS12" s="39">
        <v>0</v>
      </c>
      <c r="CT12" s="39">
        <v>4.5999999999999996</v>
      </c>
      <c r="CU12" s="39">
        <v>5.5720000000000001</v>
      </c>
      <c r="CV12" s="39">
        <v>3</v>
      </c>
      <c r="CW12" s="39">
        <v>3.4380000000000002</v>
      </c>
      <c r="CX12" s="39">
        <v>0</v>
      </c>
      <c r="CY12" s="39">
        <v>7.25</v>
      </c>
      <c r="CZ12" s="39">
        <v>0</v>
      </c>
      <c r="DA12" s="39">
        <v>3</v>
      </c>
      <c r="DB12" s="39">
        <v>7</v>
      </c>
      <c r="DC12" s="39">
        <v>5.5670000000000002</v>
      </c>
      <c r="DD12" s="39">
        <v>4.5</v>
      </c>
      <c r="DE12" s="39">
        <v>3.5</v>
      </c>
      <c r="DF12" s="39">
        <v>0</v>
      </c>
      <c r="DG12" s="39">
        <v>0</v>
      </c>
      <c r="DH12" s="39">
        <v>4</v>
      </c>
      <c r="DI12" s="39">
        <v>0</v>
      </c>
      <c r="DJ12" s="39">
        <v>5</v>
      </c>
      <c r="DK12" s="39">
        <v>35</v>
      </c>
      <c r="DL12" s="39">
        <v>1</v>
      </c>
      <c r="DM12" s="39">
        <v>13</v>
      </c>
      <c r="DN12" s="39">
        <v>0</v>
      </c>
      <c r="DO12" s="39">
        <v>5</v>
      </c>
      <c r="DP12" s="39">
        <v>0</v>
      </c>
      <c r="DQ12" s="39">
        <v>3</v>
      </c>
      <c r="DR12" s="39">
        <v>1</v>
      </c>
      <c r="DS12" s="39">
        <v>10</v>
      </c>
      <c r="DT12" s="39">
        <v>2</v>
      </c>
      <c r="DU12" s="39">
        <v>2</v>
      </c>
      <c r="DV12" s="39">
        <v>0</v>
      </c>
      <c r="DW12" s="39">
        <v>0</v>
      </c>
      <c r="DX12" s="39">
        <v>3</v>
      </c>
      <c r="DY12" s="39">
        <v>0</v>
      </c>
      <c r="DZ12" s="39">
        <v>5</v>
      </c>
      <c r="EA12" s="39">
        <v>7</v>
      </c>
      <c r="EB12" s="39">
        <v>1</v>
      </c>
      <c r="EC12" s="39">
        <v>6</v>
      </c>
      <c r="ED12" s="39">
        <v>0</v>
      </c>
      <c r="EE12" s="39">
        <v>2</v>
      </c>
      <c r="EF12" s="39">
        <v>0</v>
      </c>
      <c r="EG12" s="39">
        <v>2</v>
      </c>
      <c r="EH12" s="39">
        <v>1</v>
      </c>
      <c r="EI12" s="39">
        <v>3</v>
      </c>
      <c r="EJ12" s="39">
        <v>2</v>
      </c>
      <c r="EK12" s="39">
        <v>1</v>
      </c>
      <c r="EL12" s="39">
        <v>0</v>
      </c>
      <c r="EM12" s="39">
        <v>4</v>
      </c>
      <c r="EN12" s="39">
        <v>3</v>
      </c>
      <c r="EO12" s="39">
        <v>14.182</v>
      </c>
      <c r="EP12" s="39"/>
    </row>
    <row r="13" spans="1:146" x14ac:dyDescent="0.25">
      <c r="A13" s="39">
        <v>1648</v>
      </c>
      <c r="B13" s="39" t="s">
        <v>223</v>
      </c>
      <c r="C13" s="39">
        <v>10</v>
      </c>
      <c r="D13" s="39">
        <v>2</v>
      </c>
      <c r="E13" s="39">
        <v>4</v>
      </c>
      <c r="F13" s="39">
        <v>4</v>
      </c>
      <c r="G13" s="39">
        <v>10</v>
      </c>
      <c r="H13" s="39">
        <v>0</v>
      </c>
      <c r="I13" s="39">
        <v>0</v>
      </c>
      <c r="J13" s="39">
        <v>0</v>
      </c>
      <c r="K13" s="39">
        <v>0</v>
      </c>
      <c r="L13" s="39">
        <v>100</v>
      </c>
      <c r="M13" s="39">
        <v>0.4</v>
      </c>
      <c r="N13" s="39">
        <v>0.4</v>
      </c>
      <c r="O13" s="39">
        <v>4</v>
      </c>
      <c r="P13" s="39">
        <v>4</v>
      </c>
      <c r="Q13" s="39">
        <v>100</v>
      </c>
      <c r="R13" s="39">
        <v>0.4</v>
      </c>
      <c r="S13" s="39">
        <v>0.4</v>
      </c>
      <c r="T13" s="39">
        <v>4</v>
      </c>
      <c r="U13" s="39">
        <v>4</v>
      </c>
      <c r="V13" s="39">
        <v>0</v>
      </c>
      <c r="W13" s="39">
        <v>0</v>
      </c>
      <c r="X13" s="39">
        <v>0</v>
      </c>
      <c r="Y13" s="39">
        <v>0</v>
      </c>
      <c r="Z13" s="39">
        <v>0</v>
      </c>
      <c r="AA13" s="39">
        <v>0</v>
      </c>
      <c r="AB13" s="39">
        <v>0.5</v>
      </c>
      <c r="AC13" s="39">
        <v>0</v>
      </c>
      <c r="AD13" s="39">
        <v>0</v>
      </c>
      <c r="AE13" s="39">
        <v>0</v>
      </c>
      <c r="AF13" s="39">
        <v>0</v>
      </c>
      <c r="AG13" s="39">
        <v>0</v>
      </c>
      <c r="AH13" s="39">
        <v>87</v>
      </c>
      <c r="AI13" s="39">
        <v>8.6999999999999993</v>
      </c>
      <c r="AJ13" s="39">
        <v>13</v>
      </c>
      <c r="AK13" s="39">
        <v>23</v>
      </c>
      <c r="AL13" s="39">
        <v>2.2999999999999998</v>
      </c>
      <c r="AM13" s="39">
        <v>20</v>
      </c>
      <c r="AN13" s="39">
        <v>0.1</v>
      </c>
      <c r="AO13" s="39">
        <v>0.5</v>
      </c>
      <c r="AP13" s="39">
        <v>1</v>
      </c>
      <c r="AQ13" s="39">
        <v>5</v>
      </c>
      <c r="AR13" s="39">
        <v>24</v>
      </c>
      <c r="AS13" s="39">
        <v>2.4</v>
      </c>
      <c r="AT13" s="39">
        <v>39</v>
      </c>
      <c r="AU13" s="39">
        <v>3.9</v>
      </c>
      <c r="AV13" s="39">
        <v>100</v>
      </c>
      <c r="AW13" s="39">
        <v>1.3</v>
      </c>
      <c r="AX13" s="39">
        <v>1.3</v>
      </c>
      <c r="AY13" s="39">
        <v>13</v>
      </c>
      <c r="AZ13" s="39">
        <v>13</v>
      </c>
      <c r="BA13" s="39">
        <v>100</v>
      </c>
      <c r="BB13" s="39">
        <v>0.9</v>
      </c>
      <c r="BC13" s="39">
        <v>0.9</v>
      </c>
      <c r="BD13" s="39">
        <v>9</v>
      </c>
      <c r="BE13" s="39">
        <v>9</v>
      </c>
      <c r="BF13" s="39">
        <v>100</v>
      </c>
      <c r="BG13" s="39">
        <v>0.3</v>
      </c>
      <c r="BH13" s="39">
        <v>0.3</v>
      </c>
      <c r="BI13" s="39">
        <v>3</v>
      </c>
      <c r="BJ13" s="39">
        <v>3</v>
      </c>
      <c r="BK13" s="39">
        <v>86.111000000000004</v>
      </c>
      <c r="BL13" s="39">
        <v>3.1</v>
      </c>
      <c r="BM13" s="39">
        <v>3.6</v>
      </c>
      <c r="BN13" s="39">
        <v>31</v>
      </c>
      <c r="BO13" s="39">
        <v>36</v>
      </c>
      <c r="BP13" s="39">
        <v>95.238</v>
      </c>
      <c r="BQ13" s="39">
        <v>2</v>
      </c>
      <c r="BR13" s="39">
        <v>2.1</v>
      </c>
      <c r="BS13" s="39">
        <v>20</v>
      </c>
      <c r="BT13" s="39">
        <v>21</v>
      </c>
      <c r="BU13" s="39">
        <v>76</v>
      </c>
      <c r="BV13" s="39">
        <v>7.6</v>
      </c>
      <c r="BW13" s="39">
        <v>14</v>
      </c>
      <c r="BX13" s="39">
        <v>7</v>
      </c>
      <c r="BY13" s="39">
        <v>0.7</v>
      </c>
      <c r="BZ13" s="39">
        <v>0</v>
      </c>
      <c r="CA13" s="39">
        <v>0</v>
      </c>
      <c r="CB13" s="39">
        <v>0</v>
      </c>
      <c r="CC13" s="39">
        <v>11</v>
      </c>
      <c r="CD13" s="39">
        <v>1</v>
      </c>
      <c r="CE13" s="39">
        <v>0</v>
      </c>
      <c r="CF13" s="39">
        <v>50</v>
      </c>
      <c r="CG13" s="39">
        <v>1</v>
      </c>
      <c r="CH13" s="39">
        <v>2</v>
      </c>
      <c r="CI13" s="39">
        <v>0</v>
      </c>
      <c r="CJ13" s="39">
        <v>0</v>
      </c>
      <c r="CK13" s="39">
        <v>0</v>
      </c>
      <c r="CL13" s="39">
        <v>0</v>
      </c>
      <c r="CM13" s="39">
        <v>0</v>
      </c>
      <c r="CN13" s="39">
        <v>0</v>
      </c>
      <c r="CO13" s="39">
        <v>0</v>
      </c>
      <c r="CP13" s="39">
        <v>2</v>
      </c>
      <c r="CQ13" s="39">
        <v>6.5</v>
      </c>
      <c r="CR13" s="39">
        <v>2.75</v>
      </c>
      <c r="CS13" s="39">
        <v>15</v>
      </c>
      <c r="CT13" s="39">
        <v>5.5419999999999998</v>
      </c>
      <c r="CU13" s="39">
        <v>6.2</v>
      </c>
      <c r="CV13" s="39">
        <v>4.75</v>
      </c>
      <c r="CW13" s="39">
        <v>5</v>
      </c>
      <c r="CX13" s="39">
        <v>58</v>
      </c>
      <c r="CY13" s="39">
        <v>0</v>
      </c>
      <c r="CZ13" s="39">
        <v>0</v>
      </c>
      <c r="DA13" s="39">
        <v>6</v>
      </c>
      <c r="DB13" s="39">
        <v>10</v>
      </c>
      <c r="DC13" s="39">
        <v>8.5</v>
      </c>
      <c r="DD13" s="39">
        <v>0</v>
      </c>
      <c r="DE13" s="39">
        <v>6</v>
      </c>
      <c r="DF13" s="39">
        <v>3.5</v>
      </c>
      <c r="DG13" s="39">
        <v>7</v>
      </c>
      <c r="DH13" s="39">
        <v>5</v>
      </c>
      <c r="DI13" s="39">
        <v>1</v>
      </c>
      <c r="DJ13" s="39">
        <v>17</v>
      </c>
      <c r="DK13" s="39">
        <v>21</v>
      </c>
      <c r="DL13" s="39">
        <v>8</v>
      </c>
      <c r="DM13" s="39">
        <v>4</v>
      </c>
      <c r="DN13" s="39">
        <v>1</v>
      </c>
      <c r="DO13" s="39">
        <v>0</v>
      </c>
      <c r="DP13" s="39">
        <v>0</v>
      </c>
      <c r="DQ13" s="39">
        <v>2</v>
      </c>
      <c r="DR13" s="39">
        <v>1</v>
      </c>
      <c r="DS13" s="39">
        <v>6</v>
      </c>
      <c r="DT13" s="39">
        <v>0</v>
      </c>
      <c r="DU13" s="39">
        <v>2</v>
      </c>
      <c r="DV13" s="39">
        <v>2</v>
      </c>
      <c r="DW13" s="39">
        <v>4</v>
      </c>
      <c r="DX13" s="39">
        <v>3</v>
      </c>
      <c r="DY13" s="39">
        <v>1</v>
      </c>
      <c r="DZ13" s="39">
        <v>8</v>
      </c>
      <c r="EA13" s="39">
        <v>6</v>
      </c>
      <c r="EB13" s="39">
        <v>4</v>
      </c>
      <c r="EC13" s="39">
        <v>3</v>
      </c>
      <c r="ED13" s="39">
        <v>1</v>
      </c>
      <c r="EE13" s="39">
        <v>0</v>
      </c>
      <c r="EF13" s="39">
        <v>0</v>
      </c>
      <c r="EG13" s="39">
        <v>2</v>
      </c>
      <c r="EH13" s="39">
        <v>1</v>
      </c>
      <c r="EI13" s="39">
        <v>2</v>
      </c>
      <c r="EJ13" s="39">
        <v>0</v>
      </c>
      <c r="EK13" s="39">
        <v>1</v>
      </c>
      <c r="EL13" s="39">
        <v>2</v>
      </c>
      <c r="EM13" s="39">
        <v>3.3</v>
      </c>
      <c r="EN13" s="39">
        <v>1</v>
      </c>
      <c r="EO13" s="39">
        <v>16.3</v>
      </c>
      <c r="EP13" s="39"/>
    </row>
    <row r="14" spans="1:146" x14ac:dyDescent="0.25">
      <c r="A14" s="39">
        <v>1678</v>
      </c>
      <c r="B14" s="39" t="s">
        <v>224</v>
      </c>
      <c r="C14" s="39">
        <v>10</v>
      </c>
      <c r="D14" s="39">
        <v>5</v>
      </c>
      <c r="E14" s="39">
        <v>4</v>
      </c>
      <c r="F14" s="39">
        <v>1</v>
      </c>
      <c r="G14" s="39">
        <v>10</v>
      </c>
      <c r="H14" s="39">
        <v>4</v>
      </c>
      <c r="I14" s="39">
        <v>0.4</v>
      </c>
      <c r="J14" s="39">
        <v>10</v>
      </c>
      <c r="K14" s="39">
        <v>1</v>
      </c>
      <c r="L14" s="39">
        <v>72.727000000000004</v>
      </c>
      <c r="M14" s="39">
        <v>0.8</v>
      </c>
      <c r="N14" s="39">
        <v>1.1000000000000001</v>
      </c>
      <c r="O14" s="39">
        <v>8</v>
      </c>
      <c r="P14" s="39">
        <v>11</v>
      </c>
      <c r="Q14" s="39">
        <v>71.429000000000002</v>
      </c>
      <c r="R14" s="39">
        <v>1</v>
      </c>
      <c r="S14" s="39">
        <v>1.4</v>
      </c>
      <c r="T14" s="39">
        <v>10</v>
      </c>
      <c r="U14" s="39">
        <v>14</v>
      </c>
      <c r="V14" s="39">
        <v>0.2</v>
      </c>
      <c r="W14" s="39">
        <v>0</v>
      </c>
      <c r="X14" s="39">
        <v>0</v>
      </c>
      <c r="Y14" s="39">
        <v>0</v>
      </c>
      <c r="Z14" s="39">
        <v>0</v>
      </c>
      <c r="AA14" s="39">
        <v>0</v>
      </c>
      <c r="AB14" s="39">
        <v>0.2</v>
      </c>
      <c r="AC14" s="39">
        <v>0</v>
      </c>
      <c r="AD14" s="39">
        <v>0</v>
      </c>
      <c r="AE14" s="39">
        <v>0</v>
      </c>
      <c r="AF14" s="39">
        <v>0</v>
      </c>
      <c r="AG14" s="39">
        <v>0</v>
      </c>
      <c r="AH14" s="39">
        <v>78</v>
      </c>
      <c r="AI14" s="39">
        <v>7.8</v>
      </c>
      <c r="AJ14" s="39">
        <v>9</v>
      </c>
      <c r="AK14" s="39">
        <v>18</v>
      </c>
      <c r="AL14" s="39">
        <v>1.8</v>
      </c>
      <c r="AM14" s="39">
        <v>80</v>
      </c>
      <c r="AN14" s="39">
        <v>0.8</v>
      </c>
      <c r="AO14" s="39">
        <v>1</v>
      </c>
      <c r="AP14" s="39">
        <v>8</v>
      </c>
      <c r="AQ14" s="39">
        <v>10</v>
      </c>
      <c r="AR14" s="39">
        <v>14</v>
      </c>
      <c r="AS14" s="39">
        <v>1.4</v>
      </c>
      <c r="AT14" s="39">
        <v>38</v>
      </c>
      <c r="AU14" s="39">
        <v>3.8</v>
      </c>
      <c r="AV14" s="39">
        <v>100</v>
      </c>
      <c r="AW14" s="39">
        <v>0.9</v>
      </c>
      <c r="AX14" s="39">
        <v>0.9</v>
      </c>
      <c r="AY14" s="39">
        <v>9</v>
      </c>
      <c r="AZ14" s="39">
        <v>9</v>
      </c>
      <c r="BA14" s="39">
        <v>100</v>
      </c>
      <c r="BB14" s="39">
        <v>1.3</v>
      </c>
      <c r="BC14" s="39">
        <v>1.3</v>
      </c>
      <c r="BD14" s="39">
        <v>13</v>
      </c>
      <c r="BE14" s="39">
        <v>13</v>
      </c>
      <c r="BF14" s="39">
        <v>90.475999999999999</v>
      </c>
      <c r="BG14" s="39">
        <v>1.9</v>
      </c>
      <c r="BH14" s="39">
        <v>2.1</v>
      </c>
      <c r="BI14" s="39">
        <v>19</v>
      </c>
      <c r="BJ14" s="39">
        <v>21</v>
      </c>
      <c r="BK14" s="39">
        <v>93.75</v>
      </c>
      <c r="BL14" s="39">
        <v>3</v>
      </c>
      <c r="BM14" s="39">
        <v>3.2</v>
      </c>
      <c r="BN14" s="39">
        <v>30</v>
      </c>
      <c r="BO14" s="39">
        <v>32</v>
      </c>
      <c r="BP14" s="39">
        <v>100</v>
      </c>
      <c r="BQ14" s="39">
        <v>0.3</v>
      </c>
      <c r="BR14" s="39">
        <v>0.3</v>
      </c>
      <c r="BS14" s="39">
        <v>3</v>
      </c>
      <c r="BT14" s="39">
        <v>3</v>
      </c>
      <c r="BU14" s="39">
        <v>74</v>
      </c>
      <c r="BV14" s="39">
        <v>7.4</v>
      </c>
      <c r="BW14" s="39">
        <v>9</v>
      </c>
      <c r="BX14" s="39">
        <v>3</v>
      </c>
      <c r="BY14" s="39">
        <v>0.3</v>
      </c>
      <c r="BZ14" s="39">
        <v>0</v>
      </c>
      <c r="CA14" s="39">
        <v>0</v>
      </c>
      <c r="CB14" s="39">
        <v>0</v>
      </c>
      <c r="CC14" s="39">
        <v>22</v>
      </c>
      <c r="CD14" s="39">
        <v>3</v>
      </c>
      <c r="CE14" s="39">
        <v>0</v>
      </c>
      <c r="CF14" s="39">
        <v>100</v>
      </c>
      <c r="CG14" s="39">
        <v>9</v>
      </c>
      <c r="CH14" s="39">
        <v>9</v>
      </c>
      <c r="CI14" s="39">
        <v>100</v>
      </c>
      <c r="CJ14" s="39">
        <v>9</v>
      </c>
      <c r="CK14" s="39">
        <v>9</v>
      </c>
      <c r="CL14" s="39">
        <v>0</v>
      </c>
      <c r="CM14" s="39">
        <v>0</v>
      </c>
      <c r="CN14" s="39">
        <v>0</v>
      </c>
      <c r="CO14" s="39">
        <v>0</v>
      </c>
      <c r="CP14" s="39">
        <v>0</v>
      </c>
      <c r="CQ14" s="39">
        <v>9</v>
      </c>
      <c r="CR14" s="39">
        <v>5</v>
      </c>
      <c r="CS14" s="39">
        <v>0</v>
      </c>
      <c r="CT14" s="39">
        <v>3.5</v>
      </c>
      <c r="CU14" s="39">
        <v>5.5519999999999996</v>
      </c>
      <c r="CV14" s="39">
        <v>5</v>
      </c>
      <c r="CW14" s="39">
        <v>9.75</v>
      </c>
      <c r="CX14" s="39">
        <v>0</v>
      </c>
      <c r="CY14" s="39">
        <v>7</v>
      </c>
      <c r="CZ14" s="39">
        <v>15</v>
      </c>
      <c r="DA14" s="39">
        <v>3.1669999999999998</v>
      </c>
      <c r="DB14" s="39">
        <v>25</v>
      </c>
      <c r="DC14" s="39">
        <v>6.8330000000000002</v>
      </c>
      <c r="DD14" s="39">
        <v>5</v>
      </c>
      <c r="DE14" s="39">
        <v>3</v>
      </c>
      <c r="DF14" s="39">
        <v>0</v>
      </c>
      <c r="DG14" s="39">
        <v>2</v>
      </c>
      <c r="DH14" s="39">
        <v>3</v>
      </c>
      <c r="DI14" s="39">
        <v>0</v>
      </c>
      <c r="DJ14" s="39">
        <v>2</v>
      </c>
      <c r="DK14" s="39">
        <v>37</v>
      </c>
      <c r="DL14" s="39">
        <v>1</v>
      </c>
      <c r="DM14" s="39">
        <v>3</v>
      </c>
      <c r="DN14" s="39">
        <v>0</v>
      </c>
      <c r="DO14" s="39">
        <v>3</v>
      </c>
      <c r="DP14" s="39">
        <v>1</v>
      </c>
      <c r="DQ14" s="39">
        <v>4</v>
      </c>
      <c r="DR14" s="39">
        <v>1</v>
      </c>
      <c r="DS14" s="39">
        <v>10</v>
      </c>
      <c r="DT14" s="39">
        <v>2</v>
      </c>
      <c r="DU14" s="39">
        <v>5</v>
      </c>
      <c r="DV14" s="39">
        <v>0</v>
      </c>
      <c r="DW14" s="39">
        <v>1</v>
      </c>
      <c r="DX14" s="39">
        <v>3</v>
      </c>
      <c r="DY14" s="39">
        <v>0</v>
      </c>
      <c r="DZ14" s="39">
        <v>2</v>
      </c>
      <c r="EA14" s="39">
        <v>6</v>
      </c>
      <c r="EB14" s="39">
        <v>1</v>
      </c>
      <c r="EC14" s="39">
        <v>2</v>
      </c>
      <c r="ED14" s="39">
        <v>0</v>
      </c>
      <c r="EE14" s="39">
        <v>1</v>
      </c>
      <c r="EF14" s="39">
        <v>1</v>
      </c>
      <c r="EG14" s="39">
        <v>3</v>
      </c>
      <c r="EH14" s="39">
        <v>1</v>
      </c>
      <c r="EI14" s="39">
        <v>4</v>
      </c>
      <c r="EJ14" s="39">
        <v>2</v>
      </c>
      <c r="EK14" s="39">
        <v>3</v>
      </c>
      <c r="EL14" s="39">
        <v>0</v>
      </c>
      <c r="EM14" s="39">
        <v>4.5999999999999996</v>
      </c>
      <c r="EN14" s="39">
        <v>0</v>
      </c>
      <c r="EO14" s="39">
        <v>15.2</v>
      </c>
      <c r="EP14" s="39"/>
    </row>
    <row r="15" spans="1:146" x14ac:dyDescent="0.25">
      <c r="A15" s="39">
        <v>1700</v>
      </c>
      <c r="B15" s="39" t="s">
        <v>225</v>
      </c>
      <c r="C15" s="39">
        <v>10</v>
      </c>
      <c r="D15" s="39">
        <v>3</v>
      </c>
      <c r="E15" s="39">
        <v>0</v>
      </c>
      <c r="F15" s="39">
        <v>7</v>
      </c>
      <c r="G15" s="39">
        <v>10</v>
      </c>
      <c r="H15" s="39">
        <v>0</v>
      </c>
      <c r="I15" s="39">
        <v>0</v>
      </c>
      <c r="J15" s="39">
        <v>0</v>
      </c>
      <c r="K15" s="39">
        <v>0</v>
      </c>
      <c r="L15" s="39">
        <v>100</v>
      </c>
      <c r="M15" s="39">
        <v>0.1</v>
      </c>
      <c r="N15" s="39">
        <v>0.1</v>
      </c>
      <c r="O15" s="39">
        <v>1</v>
      </c>
      <c r="P15" s="39">
        <v>1</v>
      </c>
      <c r="Q15" s="39">
        <v>50</v>
      </c>
      <c r="R15" s="39">
        <v>0.1</v>
      </c>
      <c r="S15" s="39">
        <v>0.2</v>
      </c>
      <c r="T15" s="39">
        <v>1</v>
      </c>
      <c r="U15" s="39">
        <v>2</v>
      </c>
      <c r="V15" s="39">
        <v>0</v>
      </c>
      <c r="W15" s="39">
        <v>0</v>
      </c>
      <c r="X15" s="39">
        <v>0</v>
      </c>
      <c r="Y15" s="39">
        <v>0</v>
      </c>
      <c r="Z15" s="39">
        <v>0</v>
      </c>
      <c r="AA15" s="39">
        <v>0</v>
      </c>
      <c r="AB15" s="39">
        <v>0.1</v>
      </c>
      <c r="AC15" s="39">
        <v>0</v>
      </c>
      <c r="AD15" s="39">
        <v>0</v>
      </c>
      <c r="AE15" s="39">
        <v>0</v>
      </c>
      <c r="AF15" s="39">
        <v>0</v>
      </c>
      <c r="AG15" s="39">
        <v>0</v>
      </c>
      <c r="AH15" s="39">
        <v>37</v>
      </c>
      <c r="AI15" s="39">
        <v>3.7</v>
      </c>
      <c r="AJ15" s="39">
        <v>6</v>
      </c>
      <c r="AK15" s="39">
        <v>15</v>
      </c>
      <c r="AL15" s="39">
        <v>1.5</v>
      </c>
      <c r="AM15" s="39">
        <v>50</v>
      </c>
      <c r="AN15" s="39">
        <v>0.2</v>
      </c>
      <c r="AO15" s="39">
        <v>0.4</v>
      </c>
      <c r="AP15" s="39">
        <v>2</v>
      </c>
      <c r="AQ15" s="39">
        <v>4</v>
      </c>
      <c r="AR15" s="39">
        <v>18</v>
      </c>
      <c r="AS15" s="39">
        <v>1.8</v>
      </c>
      <c r="AT15" s="39">
        <v>2</v>
      </c>
      <c r="AU15" s="39">
        <v>0.2</v>
      </c>
      <c r="AV15" s="39">
        <v>44.444000000000003</v>
      </c>
      <c r="AW15" s="39">
        <v>0.4</v>
      </c>
      <c r="AX15" s="39">
        <v>0.9</v>
      </c>
      <c r="AY15" s="39">
        <v>4</v>
      </c>
      <c r="AZ15" s="39">
        <v>9</v>
      </c>
      <c r="BA15" s="39">
        <v>75</v>
      </c>
      <c r="BB15" s="39">
        <v>0.3</v>
      </c>
      <c r="BC15" s="39">
        <v>0.4</v>
      </c>
      <c r="BD15" s="39">
        <v>3</v>
      </c>
      <c r="BE15" s="39">
        <v>4</v>
      </c>
      <c r="BF15" s="39">
        <v>100</v>
      </c>
      <c r="BG15" s="39">
        <v>0.1</v>
      </c>
      <c r="BH15" s="39">
        <v>0.1</v>
      </c>
      <c r="BI15" s="39">
        <v>1</v>
      </c>
      <c r="BJ15" s="39">
        <v>1</v>
      </c>
      <c r="BK15" s="39">
        <v>75</v>
      </c>
      <c r="BL15" s="39">
        <v>0.3</v>
      </c>
      <c r="BM15" s="39">
        <v>0.4</v>
      </c>
      <c r="BN15" s="39">
        <v>3</v>
      </c>
      <c r="BO15" s="39">
        <v>4</v>
      </c>
      <c r="BP15" s="39">
        <v>100</v>
      </c>
      <c r="BQ15" s="39">
        <v>1.9</v>
      </c>
      <c r="BR15" s="39">
        <v>1.9</v>
      </c>
      <c r="BS15" s="39">
        <v>19</v>
      </c>
      <c r="BT15" s="39">
        <v>19</v>
      </c>
      <c r="BU15" s="39">
        <v>30</v>
      </c>
      <c r="BV15" s="39">
        <v>3</v>
      </c>
      <c r="BW15" s="39">
        <v>6</v>
      </c>
      <c r="BX15" s="39">
        <v>4</v>
      </c>
      <c r="BY15" s="39">
        <v>0.4</v>
      </c>
      <c r="BZ15" s="39">
        <v>0</v>
      </c>
      <c r="CA15" s="39">
        <v>0</v>
      </c>
      <c r="CB15" s="39">
        <v>0</v>
      </c>
      <c r="CC15" s="39">
        <v>2</v>
      </c>
      <c r="CD15" s="39">
        <v>1</v>
      </c>
      <c r="CE15" s="39">
        <v>0</v>
      </c>
      <c r="CF15" s="39">
        <v>0</v>
      </c>
      <c r="CG15" s="39">
        <v>0</v>
      </c>
      <c r="CH15" s="39">
        <v>0</v>
      </c>
      <c r="CI15" s="39">
        <v>0</v>
      </c>
      <c r="CJ15" s="39">
        <v>0</v>
      </c>
      <c r="CK15" s="39">
        <v>0</v>
      </c>
      <c r="CL15" s="39">
        <v>0</v>
      </c>
      <c r="CM15" s="39">
        <v>0</v>
      </c>
      <c r="CN15" s="39">
        <v>0</v>
      </c>
      <c r="CO15" s="39">
        <v>0</v>
      </c>
      <c r="CP15" s="39">
        <v>2</v>
      </c>
      <c r="CQ15" s="39">
        <v>9</v>
      </c>
      <c r="CR15" s="39">
        <v>4.5</v>
      </c>
      <c r="CS15" s="39">
        <v>0</v>
      </c>
      <c r="CT15" s="39">
        <v>13.048</v>
      </c>
      <c r="CU15" s="39">
        <v>0</v>
      </c>
      <c r="CV15" s="39">
        <v>0</v>
      </c>
      <c r="CW15" s="39">
        <v>6</v>
      </c>
      <c r="CX15" s="39">
        <v>0</v>
      </c>
      <c r="CY15" s="39">
        <v>0</v>
      </c>
      <c r="CZ15" s="39">
        <v>0</v>
      </c>
      <c r="DA15" s="39">
        <v>20</v>
      </c>
      <c r="DB15" s="39">
        <v>0</v>
      </c>
      <c r="DC15" s="39">
        <v>15</v>
      </c>
      <c r="DD15" s="39">
        <v>13</v>
      </c>
      <c r="DE15" s="39">
        <v>0</v>
      </c>
      <c r="DF15" s="39">
        <v>10.5</v>
      </c>
      <c r="DG15" s="39">
        <v>1</v>
      </c>
      <c r="DH15" s="39">
        <v>4</v>
      </c>
      <c r="DI15" s="39">
        <v>0</v>
      </c>
      <c r="DJ15" s="39">
        <v>14</v>
      </c>
      <c r="DK15" s="39">
        <v>0</v>
      </c>
      <c r="DL15" s="39">
        <v>0</v>
      </c>
      <c r="DM15" s="39">
        <v>1</v>
      </c>
      <c r="DN15" s="39">
        <v>0</v>
      </c>
      <c r="DO15" s="39">
        <v>0</v>
      </c>
      <c r="DP15" s="39">
        <v>0</v>
      </c>
      <c r="DQ15" s="39">
        <v>2</v>
      </c>
      <c r="DR15" s="39">
        <v>0</v>
      </c>
      <c r="DS15" s="39">
        <v>1</v>
      </c>
      <c r="DT15" s="39">
        <v>1</v>
      </c>
      <c r="DU15" s="39">
        <v>0</v>
      </c>
      <c r="DV15" s="39">
        <v>2</v>
      </c>
      <c r="DW15" s="39">
        <v>1</v>
      </c>
      <c r="DX15" s="39">
        <v>2</v>
      </c>
      <c r="DY15" s="39">
        <v>0</v>
      </c>
      <c r="DZ15" s="39">
        <v>3</v>
      </c>
      <c r="EA15" s="39">
        <v>0</v>
      </c>
      <c r="EB15" s="39">
        <v>0</v>
      </c>
      <c r="EC15" s="39">
        <v>1</v>
      </c>
      <c r="ED15" s="39">
        <v>0</v>
      </c>
      <c r="EE15" s="39">
        <v>0</v>
      </c>
      <c r="EF15" s="39">
        <v>0</v>
      </c>
      <c r="EG15" s="39">
        <v>2</v>
      </c>
      <c r="EH15" s="39">
        <v>0</v>
      </c>
      <c r="EI15" s="39">
        <v>1</v>
      </c>
      <c r="EJ15" s="39">
        <v>1</v>
      </c>
      <c r="EK15" s="39">
        <v>0</v>
      </c>
      <c r="EL15" s="39">
        <v>1</v>
      </c>
      <c r="EM15" s="39">
        <v>2.1</v>
      </c>
      <c r="EN15" s="39">
        <v>2</v>
      </c>
      <c r="EO15" s="39">
        <v>6.7</v>
      </c>
      <c r="EP15" s="39"/>
    </row>
    <row r="16" spans="1:146" x14ac:dyDescent="0.25">
      <c r="A16" s="39">
        <v>1723</v>
      </c>
      <c r="B16" s="39" t="s">
        <v>226</v>
      </c>
      <c r="C16" s="39">
        <v>10</v>
      </c>
      <c r="D16" s="39">
        <v>4</v>
      </c>
      <c r="E16" s="39">
        <v>4</v>
      </c>
      <c r="F16" s="39">
        <v>2</v>
      </c>
      <c r="G16" s="39">
        <v>10</v>
      </c>
      <c r="H16" s="39">
        <v>2</v>
      </c>
      <c r="I16" s="39">
        <v>0.2</v>
      </c>
      <c r="J16" s="39">
        <v>1</v>
      </c>
      <c r="K16" s="39">
        <v>0.1</v>
      </c>
      <c r="L16" s="39">
        <v>71.429000000000002</v>
      </c>
      <c r="M16" s="39">
        <v>0.5</v>
      </c>
      <c r="N16" s="39">
        <v>0.7</v>
      </c>
      <c r="O16" s="39">
        <v>5</v>
      </c>
      <c r="P16" s="39">
        <v>7</v>
      </c>
      <c r="Q16" s="39">
        <v>33.332999999999998</v>
      </c>
      <c r="R16" s="39">
        <v>0.1</v>
      </c>
      <c r="S16" s="39">
        <v>0.3</v>
      </c>
      <c r="T16" s="39">
        <v>1</v>
      </c>
      <c r="U16" s="39">
        <v>3</v>
      </c>
      <c r="V16" s="39">
        <v>0.2</v>
      </c>
      <c r="W16" s="39">
        <v>0</v>
      </c>
      <c r="X16" s="39">
        <v>0</v>
      </c>
      <c r="Y16" s="39">
        <v>0</v>
      </c>
      <c r="Z16" s="39">
        <v>0</v>
      </c>
      <c r="AA16" s="39">
        <v>0</v>
      </c>
      <c r="AB16" s="39">
        <v>0.2</v>
      </c>
      <c r="AC16" s="39">
        <v>0</v>
      </c>
      <c r="AD16" s="39">
        <v>0</v>
      </c>
      <c r="AE16" s="39">
        <v>0</v>
      </c>
      <c r="AF16" s="39">
        <v>0</v>
      </c>
      <c r="AG16" s="39">
        <v>0</v>
      </c>
      <c r="AH16" s="39">
        <v>62</v>
      </c>
      <c r="AI16" s="39">
        <v>6.2</v>
      </c>
      <c r="AJ16" s="39">
        <v>8</v>
      </c>
      <c r="AK16" s="39">
        <v>19</v>
      </c>
      <c r="AL16" s="39">
        <v>1.9</v>
      </c>
      <c r="AM16" s="39">
        <v>87.5</v>
      </c>
      <c r="AN16" s="39">
        <v>0.7</v>
      </c>
      <c r="AO16" s="39">
        <v>0.8</v>
      </c>
      <c r="AP16" s="39">
        <v>7</v>
      </c>
      <c r="AQ16" s="39">
        <v>8</v>
      </c>
      <c r="AR16" s="39">
        <v>6</v>
      </c>
      <c r="AS16" s="39">
        <v>0.6</v>
      </c>
      <c r="AT16" s="39">
        <v>30</v>
      </c>
      <c r="AU16" s="39">
        <v>3</v>
      </c>
      <c r="AV16" s="39">
        <v>100</v>
      </c>
      <c r="AW16" s="39">
        <v>0.6</v>
      </c>
      <c r="AX16" s="39">
        <v>0.6</v>
      </c>
      <c r="AY16" s="39">
        <v>6</v>
      </c>
      <c r="AZ16" s="39">
        <v>6</v>
      </c>
      <c r="BA16" s="39">
        <v>81.817999999999998</v>
      </c>
      <c r="BB16" s="39">
        <v>0.9</v>
      </c>
      <c r="BC16" s="39">
        <v>1.1000000000000001</v>
      </c>
      <c r="BD16" s="39">
        <v>9</v>
      </c>
      <c r="BE16" s="39">
        <v>11</v>
      </c>
      <c r="BF16" s="39">
        <v>88.234999999999999</v>
      </c>
      <c r="BG16" s="39">
        <v>1.5</v>
      </c>
      <c r="BH16" s="39">
        <v>1.7</v>
      </c>
      <c r="BI16" s="39">
        <v>15</v>
      </c>
      <c r="BJ16" s="39">
        <v>17</v>
      </c>
      <c r="BK16" s="39">
        <v>90</v>
      </c>
      <c r="BL16" s="39">
        <v>1.8</v>
      </c>
      <c r="BM16" s="39">
        <v>2</v>
      </c>
      <c r="BN16" s="39">
        <v>18</v>
      </c>
      <c r="BO16" s="39">
        <v>20</v>
      </c>
      <c r="BP16" s="39">
        <v>100</v>
      </c>
      <c r="BQ16" s="39">
        <v>0.4</v>
      </c>
      <c r="BR16" s="39">
        <v>0.4</v>
      </c>
      <c r="BS16" s="39">
        <v>4</v>
      </c>
      <c r="BT16" s="39">
        <v>4</v>
      </c>
      <c r="BU16" s="39">
        <v>52</v>
      </c>
      <c r="BV16" s="39">
        <v>5.2</v>
      </c>
      <c r="BW16" s="39">
        <v>9</v>
      </c>
      <c r="BX16" s="39">
        <v>7</v>
      </c>
      <c r="BY16" s="39">
        <v>0.7</v>
      </c>
      <c r="BZ16" s="39">
        <v>0</v>
      </c>
      <c r="CA16" s="39">
        <v>0</v>
      </c>
      <c r="CB16" s="39">
        <v>0</v>
      </c>
      <c r="CC16" s="39">
        <v>22</v>
      </c>
      <c r="CD16" s="39">
        <v>1</v>
      </c>
      <c r="CE16" s="39">
        <v>0</v>
      </c>
      <c r="CF16" s="39">
        <v>100</v>
      </c>
      <c r="CG16" s="39">
        <v>9</v>
      </c>
      <c r="CH16" s="39">
        <v>9</v>
      </c>
      <c r="CI16" s="39">
        <v>0</v>
      </c>
      <c r="CJ16" s="39">
        <v>0</v>
      </c>
      <c r="CK16" s="39">
        <v>0</v>
      </c>
      <c r="CL16" s="39">
        <v>0</v>
      </c>
      <c r="CM16" s="39">
        <v>0</v>
      </c>
      <c r="CN16" s="39">
        <v>0</v>
      </c>
      <c r="CO16" s="39">
        <v>0</v>
      </c>
      <c r="CP16" s="39">
        <v>0</v>
      </c>
      <c r="CQ16" s="39">
        <v>21</v>
      </c>
      <c r="CR16" s="39">
        <v>3</v>
      </c>
      <c r="CS16" s="39">
        <v>0</v>
      </c>
      <c r="CT16" s="39">
        <v>5</v>
      </c>
      <c r="CU16" s="39">
        <v>5.0170000000000003</v>
      </c>
      <c r="CV16" s="39">
        <v>6.6669999999999998</v>
      </c>
      <c r="CW16" s="39">
        <v>5.3339999999999996</v>
      </c>
      <c r="CX16" s="39">
        <v>21.5</v>
      </c>
      <c r="CY16" s="39">
        <v>9.6669999999999998</v>
      </c>
      <c r="CZ16" s="39">
        <v>0</v>
      </c>
      <c r="DA16" s="39">
        <v>0</v>
      </c>
      <c r="DB16" s="39">
        <v>0</v>
      </c>
      <c r="DC16" s="39">
        <v>6.4</v>
      </c>
      <c r="DD16" s="39">
        <v>6</v>
      </c>
      <c r="DE16" s="39">
        <v>3.8</v>
      </c>
      <c r="DF16" s="39">
        <v>10</v>
      </c>
      <c r="DG16" s="39">
        <v>4</v>
      </c>
      <c r="DH16" s="39">
        <v>1</v>
      </c>
      <c r="DI16" s="39">
        <v>0</v>
      </c>
      <c r="DJ16" s="39">
        <v>1</v>
      </c>
      <c r="DK16" s="39">
        <v>20</v>
      </c>
      <c r="DL16" s="39">
        <v>3</v>
      </c>
      <c r="DM16" s="39">
        <v>4</v>
      </c>
      <c r="DN16" s="39">
        <v>2</v>
      </c>
      <c r="DO16" s="39">
        <v>3</v>
      </c>
      <c r="DP16" s="39">
        <v>0</v>
      </c>
      <c r="DQ16" s="39">
        <v>0</v>
      </c>
      <c r="DR16" s="39">
        <v>0</v>
      </c>
      <c r="DS16" s="39">
        <v>6</v>
      </c>
      <c r="DT16" s="39">
        <v>2</v>
      </c>
      <c r="DU16" s="39">
        <v>5</v>
      </c>
      <c r="DV16" s="39">
        <v>2</v>
      </c>
      <c r="DW16" s="39">
        <v>2</v>
      </c>
      <c r="DX16" s="39">
        <v>1</v>
      </c>
      <c r="DY16" s="39">
        <v>0</v>
      </c>
      <c r="DZ16" s="39">
        <v>1</v>
      </c>
      <c r="EA16" s="39">
        <v>5</v>
      </c>
      <c r="EB16" s="39">
        <v>1</v>
      </c>
      <c r="EC16" s="39">
        <v>3</v>
      </c>
      <c r="ED16" s="39">
        <v>2</v>
      </c>
      <c r="EE16" s="39">
        <v>3</v>
      </c>
      <c r="EF16" s="39">
        <v>0</v>
      </c>
      <c r="EG16" s="39">
        <v>0</v>
      </c>
      <c r="EH16" s="39">
        <v>0</v>
      </c>
      <c r="EI16" s="39">
        <v>2</v>
      </c>
      <c r="EJ16" s="39">
        <v>1</v>
      </c>
      <c r="EK16" s="39">
        <v>5</v>
      </c>
      <c r="EL16" s="39">
        <v>1</v>
      </c>
      <c r="EM16" s="39">
        <v>3.5</v>
      </c>
      <c r="EN16" s="39">
        <v>2</v>
      </c>
      <c r="EO16" s="39">
        <v>11.4</v>
      </c>
      <c r="EP16" s="39"/>
    </row>
    <row r="17" spans="1:146" x14ac:dyDescent="0.25">
      <c r="A17" s="39">
        <v>1868</v>
      </c>
      <c r="B17" s="39" t="s">
        <v>227</v>
      </c>
      <c r="C17" s="39">
        <v>10</v>
      </c>
      <c r="D17" s="39">
        <v>3</v>
      </c>
      <c r="E17" s="39">
        <v>2</v>
      </c>
      <c r="F17" s="39">
        <v>5</v>
      </c>
      <c r="G17" s="39">
        <v>8</v>
      </c>
      <c r="H17" s="39">
        <v>0</v>
      </c>
      <c r="I17" s="39">
        <v>0</v>
      </c>
      <c r="J17" s="39">
        <v>0</v>
      </c>
      <c r="K17" s="39">
        <v>0</v>
      </c>
      <c r="L17" s="39">
        <v>100</v>
      </c>
      <c r="M17" s="39">
        <v>0.1</v>
      </c>
      <c r="N17" s="39">
        <v>0.1</v>
      </c>
      <c r="O17" s="39">
        <v>1</v>
      </c>
      <c r="P17" s="39">
        <v>1</v>
      </c>
      <c r="Q17" s="39">
        <v>75</v>
      </c>
      <c r="R17" s="39">
        <v>0.3</v>
      </c>
      <c r="S17" s="39">
        <v>0.4</v>
      </c>
      <c r="T17" s="39">
        <v>3</v>
      </c>
      <c r="U17" s="39">
        <v>4</v>
      </c>
      <c r="V17" s="39">
        <v>0.1</v>
      </c>
      <c r="W17" s="39">
        <v>0</v>
      </c>
      <c r="X17" s="39">
        <v>0</v>
      </c>
      <c r="Y17" s="39">
        <v>0</v>
      </c>
      <c r="Z17" s="39">
        <v>0</v>
      </c>
      <c r="AA17" s="39">
        <v>0</v>
      </c>
      <c r="AB17" s="39">
        <v>0.1</v>
      </c>
      <c r="AC17" s="39">
        <v>0</v>
      </c>
      <c r="AD17" s="39">
        <v>0</v>
      </c>
      <c r="AE17" s="39">
        <v>0</v>
      </c>
      <c r="AF17" s="39">
        <v>0</v>
      </c>
      <c r="AG17" s="39">
        <v>0</v>
      </c>
      <c r="AH17" s="39">
        <v>36</v>
      </c>
      <c r="AI17" s="39">
        <v>3.6</v>
      </c>
      <c r="AJ17" s="39">
        <v>8</v>
      </c>
      <c r="AK17" s="39">
        <v>3</v>
      </c>
      <c r="AL17" s="39">
        <v>0.3</v>
      </c>
      <c r="AM17" s="39">
        <v>100</v>
      </c>
      <c r="AN17" s="39">
        <v>0.4</v>
      </c>
      <c r="AO17" s="39">
        <v>0.4</v>
      </c>
      <c r="AP17" s="39">
        <v>4</v>
      </c>
      <c r="AQ17" s="39">
        <v>4</v>
      </c>
      <c r="AR17" s="39">
        <v>14</v>
      </c>
      <c r="AS17" s="39">
        <v>1.4</v>
      </c>
      <c r="AT17" s="39">
        <v>15</v>
      </c>
      <c r="AU17" s="39">
        <v>1.5</v>
      </c>
      <c r="AV17" s="39">
        <v>85.713999999999999</v>
      </c>
      <c r="AW17" s="39">
        <v>0.6</v>
      </c>
      <c r="AX17" s="39">
        <v>0.7</v>
      </c>
      <c r="AY17" s="39">
        <v>6</v>
      </c>
      <c r="AZ17" s="39">
        <v>7</v>
      </c>
      <c r="BA17" s="39">
        <v>100</v>
      </c>
      <c r="BB17" s="39">
        <v>0.2</v>
      </c>
      <c r="BC17" s="39">
        <v>0.2</v>
      </c>
      <c r="BD17" s="39">
        <v>2</v>
      </c>
      <c r="BE17" s="39">
        <v>2</v>
      </c>
      <c r="BF17" s="39">
        <v>90.909000000000006</v>
      </c>
      <c r="BG17" s="39">
        <v>1</v>
      </c>
      <c r="BH17" s="39">
        <v>1.1000000000000001</v>
      </c>
      <c r="BI17" s="39">
        <v>10</v>
      </c>
      <c r="BJ17" s="39">
        <v>11</v>
      </c>
      <c r="BK17" s="39">
        <v>90</v>
      </c>
      <c r="BL17" s="39">
        <v>0.9</v>
      </c>
      <c r="BM17" s="39">
        <v>1</v>
      </c>
      <c r="BN17" s="39">
        <v>9</v>
      </c>
      <c r="BO17" s="39">
        <v>10</v>
      </c>
      <c r="BP17" s="39">
        <v>100</v>
      </c>
      <c r="BQ17" s="39">
        <v>0.9</v>
      </c>
      <c r="BR17" s="39">
        <v>0.9</v>
      </c>
      <c r="BS17" s="39">
        <v>9</v>
      </c>
      <c r="BT17" s="39">
        <v>9</v>
      </c>
      <c r="BU17" s="39">
        <v>36</v>
      </c>
      <c r="BV17" s="39">
        <v>3.6</v>
      </c>
      <c r="BW17" s="39">
        <v>7</v>
      </c>
      <c r="BX17" s="39">
        <v>4</v>
      </c>
      <c r="BY17" s="39">
        <v>0.4</v>
      </c>
      <c r="BZ17" s="39">
        <v>0</v>
      </c>
      <c r="CA17" s="39">
        <v>0</v>
      </c>
      <c r="CB17" s="39">
        <v>0</v>
      </c>
      <c r="CC17" s="39">
        <v>11</v>
      </c>
      <c r="CD17" s="39">
        <v>1</v>
      </c>
      <c r="CE17" s="39">
        <v>0</v>
      </c>
      <c r="CF17" s="39">
        <v>0</v>
      </c>
      <c r="CG17" s="39">
        <v>0</v>
      </c>
      <c r="CH17" s="39">
        <v>0</v>
      </c>
      <c r="CI17" s="39">
        <v>0</v>
      </c>
      <c r="CJ17" s="39">
        <v>0</v>
      </c>
      <c r="CK17" s="39">
        <v>0</v>
      </c>
      <c r="CL17" s="39">
        <v>0</v>
      </c>
      <c r="CM17" s="39">
        <v>0</v>
      </c>
      <c r="CN17" s="39">
        <v>0</v>
      </c>
      <c r="CO17" s="39">
        <v>0</v>
      </c>
      <c r="CP17" s="39">
        <v>5</v>
      </c>
      <c r="CQ17" s="39">
        <v>13.5</v>
      </c>
      <c r="CR17" s="39">
        <v>7.3330000000000002</v>
      </c>
      <c r="CS17" s="39">
        <v>0</v>
      </c>
      <c r="CT17" s="39">
        <v>9</v>
      </c>
      <c r="CU17" s="39">
        <v>11.95</v>
      </c>
      <c r="CV17" s="39">
        <v>5</v>
      </c>
      <c r="CW17" s="39">
        <v>12</v>
      </c>
      <c r="CX17" s="39">
        <v>9</v>
      </c>
      <c r="CY17" s="39">
        <v>9.5</v>
      </c>
      <c r="CZ17" s="39">
        <v>0</v>
      </c>
      <c r="DA17" s="39">
        <v>6</v>
      </c>
      <c r="DB17" s="39">
        <v>20</v>
      </c>
      <c r="DC17" s="39">
        <v>9.5</v>
      </c>
      <c r="DD17" s="39">
        <v>0</v>
      </c>
      <c r="DE17" s="39">
        <v>0</v>
      </c>
      <c r="DF17" s="39">
        <v>8.6</v>
      </c>
      <c r="DG17" s="39">
        <v>4</v>
      </c>
      <c r="DH17" s="39">
        <v>3</v>
      </c>
      <c r="DI17" s="39">
        <v>0</v>
      </c>
      <c r="DJ17" s="39">
        <v>2</v>
      </c>
      <c r="DK17" s="39">
        <v>11</v>
      </c>
      <c r="DL17" s="39">
        <v>1</v>
      </c>
      <c r="DM17" s="39">
        <v>1</v>
      </c>
      <c r="DN17" s="39">
        <v>1</v>
      </c>
      <c r="DO17" s="39">
        <v>2</v>
      </c>
      <c r="DP17" s="39">
        <v>0</v>
      </c>
      <c r="DQ17" s="39">
        <v>1</v>
      </c>
      <c r="DR17" s="39">
        <v>1</v>
      </c>
      <c r="DS17" s="39">
        <v>2</v>
      </c>
      <c r="DT17" s="39">
        <v>0</v>
      </c>
      <c r="DU17" s="39">
        <v>0</v>
      </c>
      <c r="DV17" s="39">
        <v>5</v>
      </c>
      <c r="DW17" s="39">
        <v>2</v>
      </c>
      <c r="DX17" s="39">
        <v>3</v>
      </c>
      <c r="DY17" s="39">
        <v>0</v>
      </c>
      <c r="DZ17" s="39">
        <v>1</v>
      </c>
      <c r="EA17" s="39">
        <v>4</v>
      </c>
      <c r="EB17" s="39">
        <v>1</v>
      </c>
      <c r="EC17" s="39">
        <v>1</v>
      </c>
      <c r="ED17" s="39">
        <v>1</v>
      </c>
      <c r="EE17" s="39">
        <v>2</v>
      </c>
      <c r="EF17" s="39">
        <v>0</v>
      </c>
      <c r="EG17" s="39">
        <v>1</v>
      </c>
      <c r="EH17" s="39">
        <v>1</v>
      </c>
      <c r="EI17" s="39">
        <v>1</v>
      </c>
      <c r="EJ17" s="39">
        <v>0</v>
      </c>
      <c r="EK17" s="39">
        <v>0</v>
      </c>
      <c r="EL17" s="39">
        <v>5</v>
      </c>
      <c r="EM17" s="39">
        <v>2.6</v>
      </c>
      <c r="EN17" s="39">
        <v>0</v>
      </c>
      <c r="EO17" s="39">
        <v>7.2</v>
      </c>
      <c r="EP17" s="39"/>
    </row>
    <row r="18" spans="1:146" x14ac:dyDescent="0.25">
      <c r="A18" s="39">
        <v>1982</v>
      </c>
      <c r="B18" s="39" t="s">
        <v>228</v>
      </c>
      <c r="C18" s="39">
        <v>10</v>
      </c>
      <c r="D18" s="39">
        <v>2</v>
      </c>
      <c r="E18" s="39">
        <v>7</v>
      </c>
      <c r="F18" s="39">
        <v>1</v>
      </c>
      <c r="G18" s="39">
        <v>10</v>
      </c>
      <c r="H18" s="39">
        <v>1</v>
      </c>
      <c r="I18" s="39">
        <v>0.1</v>
      </c>
      <c r="J18" s="39">
        <v>0</v>
      </c>
      <c r="K18" s="39">
        <v>0</v>
      </c>
      <c r="L18" s="39">
        <v>100</v>
      </c>
      <c r="M18" s="39">
        <v>0.6</v>
      </c>
      <c r="N18" s="39">
        <v>0.6</v>
      </c>
      <c r="O18" s="39">
        <v>6</v>
      </c>
      <c r="P18" s="39">
        <v>6</v>
      </c>
      <c r="Q18" s="39">
        <v>0</v>
      </c>
      <c r="R18" s="39">
        <v>0</v>
      </c>
      <c r="S18" s="39">
        <v>0.2</v>
      </c>
      <c r="T18" s="39">
        <v>0</v>
      </c>
      <c r="U18" s="39">
        <v>2</v>
      </c>
      <c r="V18" s="39">
        <v>0.1</v>
      </c>
      <c r="W18" s="39">
        <v>0</v>
      </c>
      <c r="X18" s="39">
        <v>0</v>
      </c>
      <c r="Y18" s="39">
        <v>0</v>
      </c>
      <c r="Z18" s="39">
        <v>0</v>
      </c>
      <c r="AA18" s="39">
        <v>0</v>
      </c>
      <c r="AB18" s="39">
        <v>0.7</v>
      </c>
      <c r="AC18" s="39">
        <v>0</v>
      </c>
      <c r="AD18" s="39">
        <v>0</v>
      </c>
      <c r="AE18" s="39">
        <v>0</v>
      </c>
      <c r="AF18" s="39">
        <v>0</v>
      </c>
      <c r="AG18" s="39">
        <v>0</v>
      </c>
      <c r="AH18" s="39">
        <v>70</v>
      </c>
      <c r="AI18" s="39">
        <v>7</v>
      </c>
      <c r="AJ18" s="39">
        <v>14</v>
      </c>
      <c r="AK18" s="39">
        <v>26</v>
      </c>
      <c r="AL18" s="39">
        <v>2.6</v>
      </c>
      <c r="AM18" s="39">
        <v>100</v>
      </c>
      <c r="AN18" s="39">
        <v>0.7</v>
      </c>
      <c r="AO18" s="39">
        <v>0.7</v>
      </c>
      <c r="AP18" s="39">
        <v>7</v>
      </c>
      <c r="AQ18" s="39">
        <v>7</v>
      </c>
      <c r="AR18" s="39">
        <v>20</v>
      </c>
      <c r="AS18" s="39">
        <v>2</v>
      </c>
      <c r="AT18" s="39">
        <v>17</v>
      </c>
      <c r="AU18" s="39">
        <v>1.7</v>
      </c>
      <c r="AV18" s="39">
        <v>100</v>
      </c>
      <c r="AW18" s="39">
        <v>0.2</v>
      </c>
      <c r="AX18" s="39">
        <v>0.2</v>
      </c>
      <c r="AY18" s="39">
        <v>2</v>
      </c>
      <c r="AZ18" s="39">
        <v>2</v>
      </c>
      <c r="BA18" s="39">
        <v>86.667000000000002</v>
      </c>
      <c r="BB18" s="39">
        <v>1.3</v>
      </c>
      <c r="BC18" s="39">
        <v>1.5</v>
      </c>
      <c r="BD18" s="39">
        <v>13</v>
      </c>
      <c r="BE18" s="39">
        <v>15</v>
      </c>
      <c r="BF18" s="39">
        <v>95</v>
      </c>
      <c r="BG18" s="39">
        <v>1.9</v>
      </c>
      <c r="BH18" s="39">
        <v>2</v>
      </c>
      <c r="BI18" s="39">
        <v>19</v>
      </c>
      <c r="BJ18" s="39">
        <v>20</v>
      </c>
      <c r="BK18" s="39">
        <v>68.182000000000002</v>
      </c>
      <c r="BL18" s="39">
        <v>1.5</v>
      </c>
      <c r="BM18" s="39">
        <v>2.2000000000000002</v>
      </c>
      <c r="BN18" s="39">
        <v>15</v>
      </c>
      <c r="BO18" s="39">
        <v>22</v>
      </c>
      <c r="BP18" s="39">
        <v>100</v>
      </c>
      <c r="BQ18" s="39">
        <v>1.3</v>
      </c>
      <c r="BR18" s="39">
        <v>1.3</v>
      </c>
      <c r="BS18" s="39">
        <v>13</v>
      </c>
      <c r="BT18" s="39">
        <v>13</v>
      </c>
      <c r="BU18" s="39">
        <v>62</v>
      </c>
      <c r="BV18" s="39">
        <v>6.2</v>
      </c>
      <c r="BW18" s="39">
        <v>12</v>
      </c>
      <c r="BX18" s="39">
        <v>1</v>
      </c>
      <c r="BY18" s="39">
        <v>0.1</v>
      </c>
      <c r="BZ18" s="39">
        <v>0</v>
      </c>
      <c r="CA18" s="39">
        <v>0</v>
      </c>
      <c r="CB18" s="39">
        <v>0</v>
      </c>
      <c r="CC18" s="39">
        <v>22</v>
      </c>
      <c r="CD18" s="39">
        <v>2</v>
      </c>
      <c r="CE18" s="39">
        <v>0</v>
      </c>
      <c r="CF18" s="39">
        <v>0</v>
      </c>
      <c r="CG18" s="39">
        <v>0</v>
      </c>
      <c r="CH18" s="39">
        <v>0</v>
      </c>
      <c r="CI18" s="39">
        <v>0</v>
      </c>
      <c r="CJ18" s="39">
        <v>0</v>
      </c>
      <c r="CK18" s="39">
        <v>0</v>
      </c>
      <c r="CL18" s="39">
        <v>0</v>
      </c>
      <c r="CM18" s="39">
        <v>0</v>
      </c>
      <c r="CN18" s="39">
        <v>0</v>
      </c>
      <c r="CO18" s="39">
        <v>0</v>
      </c>
      <c r="CP18" s="39">
        <v>1</v>
      </c>
      <c r="CQ18" s="39">
        <v>9.1110000000000007</v>
      </c>
      <c r="CR18" s="39">
        <v>4</v>
      </c>
      <c r="CS18" s="39">
        <v>22</v>
      </c>
      <c r="CT18" s="39">
        <v>4.1429999999999998</v>
      </c>
      <c r="CU18" s="39">
        <v>6.5330000000000004</v>
      </c>
      <c r="CV18" s="39">
        <v>0</v>
      </c>
      <c r="CW18" s="39">
        <v>10</v>
      </c>
      <c r="CX18" s="39">
        <v>0</v>
      </c>
      <c r="CY18" s="39">
        <v>0</v>
      </c>
      <c r="CZ18" s="39">
        <v>0</v>
      </c>
      <c r="DA18" s="39">
        <v>7.7670000000000003</v>
      </c>
      <c r="DB18" s="39">
        <v>0</v>
      </c>
      <c r="DC18" s="39">
        <v>7.7</v>
      </c>
      <c r="DD18" s="39">
        <v>0</v>
      </c>
      <c r="DE18" s="39">
        <v>14</v>
      </c>
      <c r="DF18" s="39">
        <v>0</v>
      </c>
      <c r="DG18" s="39">
        <v>5</v>
      </c>
      <c r="DH18" s="39">
        <v>1</v>
      </c>
      <c r="DI18" s="39">
        <v>1</v>
      </c>
      <c r="DJ18" s="39">
        <v>7</v>
      </c>
      <c r="DK18" s="39">
        <v>13</v>
      </c>
      <c r="DL18" s="39">
        <v>0</v>
      </c>
      <c r="DM18" s="39">
        <v>2</v>
      </c>
      <c r="DN18" s="39">
        <v>0</v>
      </c>
      <c r="DO18" s="39">
        <v>0</v>
      </c>
      <c r="DP18" s="39">
        <v>0</v>
      </c>
      <c r="DQ18" s="39">
        <v>10</v>
      </c>
      <c r="DR18" s="39">
        <v>0</v>
      </c>
      <c r="DS18" s="39">
        <v>15</v>
      </c>
      <c r="DT18" s="39">
        <v>0</v>
      </c>
      <c r="DU18" s="39">
        <v>1</v>
      </c>
      <c r="DV18" s="39">
        <v>0</v>
      </c>
      <c r="DW18" s="39">
        <v>3</v>
      </c>
      <c r="DX18" s="39">
        <v>1</v>
      </c>
      <c r="DY18" s="39">
        <v>1</v>
      </c>
      <c r="DZ18" s="39">
        <v>7</v>
      </c>
      <c r="EA18" s="39">
        <v>4</v>
      </c>
      <c r="EB18" s="39">
        <v>0</v>
      </c>
      <c r="EC18" s="39">
        <v>2</v>
      </c>
      <c r="ED18" s="39">
        <v>0</v>
      </c>
      <c r="EE18" s="39">
        <v>0</v>
      </c>
      <c r="EF18" s="39">
        <v>0</v>
      </c>
      <c r="EG18" s="39">
        <v>3</v>
      </c>
      <c r="EH18" s="39">
        <v>0</v>
      </c>
      <c r="EI18" s="39">
        <v>8</v>
      </c>
      <c r="EJ18" s="39">
        <v>0</v>
      </c>
      <c r="EK18" s="39">
        <v>1</v>
      </c>
      <c r="EL18" s="39">
        <v>0</v>
      </c>
      <c r="EM18" s="39">
        <v>3.5</v>
      </c>
      <c r="EN18" s="39">
        <v>2</v>
      </c>
      <c r="EO18" s="39">
        <v>13.2</v>
      </c>
      <c r="EP18" s="39"/>
    </row>
    <row r="19" spans="1:146" x14ac:dyDescent="0.25">
      <c r="A19" s="39">
        <v>2367</v>
      </c>
      <c r="B19" s="39" t="s">
        <v>229</v>
      </c>
      <c r="C19" s="39">
        <v>10</v>
      </c>
      <c r="D19" s="39">
        <v>2</v>
      </c>
      <c r="E19" s="39">
        <v>3</v>
      </c>
      <c r="F19" s="39">
        <v>5</v>
      </c>
      <c r="G19" s="39">
        <v>10</v>
      </c>
      <c r="H19" s="39">
        <v>0</v>
      </c>
      <c r="I19" s="39">
        <v>0</v>
      </c>
      <c r="J19" s="39">
        <v>0</v>
      </c>
      <c r="K19" s="39">
        <v>0</v>
      </c>
      <c r="L19" s="39">
        <v>83.332999999999998</v>
      </c>
      <c r="M19" s="39">
        <v>0.5</v>
      </c>
      <c r="N19" s="39">
        <v>0.6</v>
      </c>
      <c r="O19" s="39">
        <v>5</v>
      </c>
      <c r="P19" s="39">
        <v>6</v>
      </c>
      <c r="Q19" s="39">
        <v>0</v>
      </c>
      <c r="R19" s="39">
        <v>0</v>
      </c>
      <c r="S19" s="39">
        <v>0</v>
      </c>
      <c r="T19" s="39">
        <v>0</v>
      </c>
      <c r="U19" s="39">
        <v>0</v>
      </c>
      <c r="V19" s="39">
        <v>0</v>
      </c>
      <c r="W19" s="39">
        <v>0</v>
      </c>
      <c r="X19" s="39">
        <v>0</v>
      </c>
      <c r="Y19" s="39">
        <v>0</v>
      </c>
      <c r="Z19" s="39">
        <v>0</v>
      </c>
      <c r="AA19" s="39">
        <v>0</v>
      </c>
      <c r="AB19" s="39">
        <v>0</v>
      </c>
      <c r="AC19" s="39">
        <v>0</v>
      </c>
      <c r="AD19" s="39">
        <v>0</v>
      </c>
      <c r="AE19" s="39">
        <v>0</v>
      </c>
      <c r="AF19" s="39">
        <v>0</v>
      </c>
      <c r="AG19" s="39">
        <v>0</v>
      </c>
      <c r="AH19" s="39">
        <v>77</v>
      </c>
      <c r="AI19" s="39">
        <v>7.7</v>
      </c>
      <c r="AJ19" s="39">
        <v>11</v>
      </c>
      <c r="AK19" s="39">
        <v>7</v>
      </c>
      <c r="AL19" s="39">
        <v>0.7</v>
      </c>
      <c r="AM19" s="39">
        <v>66.667000000000002</v>
      </c>
      <c r="AN19" s="39">
        <v>0.2</v>
      </c>
      <c r="AO19" s="39">
        <v>0.3</v>
      </c>
      <c r="AP19" s="39">
        <v>2</v>
      </c>
      <c r="AQ19" s="39">
        <v>3</v>
      </c>
      <c r="AR19" s="39">
        <v>63</v>
      </c>
      <c r="AS19" s="39">
        <v>6.3</v>
      </c>
      <c r="AT19" s="39">
        <v>5</v>
      </c>
      <c r="AU19" s="39">
        <v>0.5</v>
      </c>
      <c r="AV19" s="39">
        <v>51.851999999999997</v>
      </c>
      <c r="AW19" s="39">
        <v>1.4</v>
      </c>
      <c r="AX19" s="39">
        <v>2.7</v>
      </c>
      <c r="AY19" s="39">
        <v>14</v>
      </c>
      <c r="AZ19" s="39">
        <v>27</v>
      </c>
      <c r="BA19" s="39">
        <v>100</v>
      </c>
      <c r="BB19" s="39">
        <v>0.6</v>
      </c>
      <c r="BC19" s="39">
        <v>0.6</v>
      </c>
      <c r="BD19" s="39">
        <v>6</v>
      </c>
      <c r="BE19" s="39">
        <v>6</v>
      </c>
      <c r="BF19" s="39">
        <v>0</v>
      </c>
      <c r="BG19" s="39">
        <v>0</v>
      </c>
      <c r="BH19" s="39">
        <v>0</v>
      </c>
      <c r="BI19" s="39">
        <v>0</v>
      </c>
      <c r="BJ19" s="39">
        <v>0</v>
      </c>
      <c r="BK19" s="39">
        <v>0</v>
      </c>
      <c r="BL19" s="39">
        <v>0</v>
      </c>
      <c r="BM19" s="39">
        <v>0</v>
      </c>
      <c r="BN19" s="39">
        <v>0</v>
      </c>
      <c r="BO19" s="39">
        <v>0</v>
      </c>
      <c r="BP19" s="39">
        <v>100</v>
      </c>
      <c r="BQ19" s="39">
        <v>5.7</v>
      </c>
      <c r="BR19" s="39">
        <v>5.7</v>
      </c>
      <c r="BS19" s="39">
        <v>57</v>
      </c>
      <c r="BT19" s="39">
        <v>57</v>
      </c>
      <c r="BU19" s="39">
        <v>77</v>
      </c>
      <c r="BV19" s="39">
        <v>7.7</v>
      </c>
      <c r="BW19" s="39">
        <v>11</v>
      </c>
      <c r="BX19" s="39">
        <v>2</v>
      </c>
      <c r="BY19" s="39">
        <v>0.2</v>
      </c>
      <c r="BZ19" s="39">
        <v>0</v>
      </c>
      <c r="CA19" s="39">
        <v>0</v>
      </c>
      <c r="CB19" s="39">
        <v>0</v>
      </c>
      <c r="CC19" s="39">
        <v>0</v>
      </c>
      <c r="CD19" s="39">
        <v>0</v>
      </c>
      <c r="CE19" s="39">
        <v>0</v>
      </c>
      <c r="CF19" s="39">
        <v>0</v>
      </c>
      <c r="CG19" s="39">
        <v>0</v>
      </c>
      <c r="CH19" s="39">
        <v>0</v>
      </c>
      <c r="CI19" s="39">
        <v>0</v>
      </c>
      <c r="CJ19" s="39">
        <v>0</v>
      </c>
      <c r="CK19" s="39">
        <v>0</v>
      </c>
      <c r="CL19" s="39">
        <v>0</v>
      </c>
      <c r="CM19" s="39">
        <v>0</v>
      </c>
      <c r="CN19" s="39">
        <v>0</v>
      </c>
      <c r="CO19" s="39">
        <v>0</v>
      </c>
      <c r="CP19" s="39">
        <v>7</v>
      </c>
      <c r="CQ19" s="39">
        <v>0</v>
      </c>
      <c r="CR19" s="39">
        <v>5.9169999999999998</v>
      </c>
      <c r="CS19" s="39">
        <v>9</v>
      </c>
      <c r="CT19" s="39">
        <v>4.7880000000000003</v>
      </c>
      <c r="CU19" s="39">
        <v>0</v>
      </c>
      <c r="CV19" s="39">
        <v>11.25</v>
      </c>
      <c r="CW19" s="39">
        <v>25.5</v>
      </c>
      <c r="CX19" s="39">
        <v>22</v>
      </c>
      <c r="CY19" s="39">
        <v>0</v>
      </c>
      <c r="CZ19" s="39">
        <v>0</v>
      </c>
      <c r="DA19" s="39">
        <v>12</v>
      </c>
      <c r="DB19" s="39">
        <v>0</v>
      </c>
      <c r="DC19" s="39">
        <v>0</v>
      </c>
      <c r="DD19" s="39">
        <v>5</v>
      </c>
      <c r="DE19" s="39">
        <v>0</v>
      </c>
      <c r="DF19" s="39">
        <v>3.6669999999999998</v>
      </c>
      <c r="DG19" s="39">
        <v>0</v>
      </c>
      <c r="DH19" s="39">
        <v>7</v>
      </c>
      <c r="DI19" s="39">
        <v>2</v>
      </c>
      <c r="DJ19" s="39">
        <v>54</v>
      </c>
      <c r="DK19" s="39">
        <v>0</v>
      </c>
      <c r="DL19" s="39">
        <v>3</v>
      </c>
      <c r="DM19" s="39">
        <v>2</v>
      </c>
      <c r="DN19" s="39">
        <v>1</v>
      </c>
      <c r="DO19" s="39">
        <v>0</v>
      </c>
      <c r="DP19" s="39">
        <v>0</v>
      </c>
      <c r="DQ19" s="39">
        <v>1</v>
      </c>
      <c r="DR19" s="39">
        <v>0</v>
      </c>
      <c r="DS19" s="39">
        <v>0</v>
      </c>
      <c r="DT19" s="39">
        <v>3</v>
      </c>
      <c r="DU19" s="39">
        <v>0</v>
      </c>
      <c r="DV19" s="39">
        <v>3</v>
      </c>
      <c r="DW19" s="39">
        <v>0</v>
      </c>
      <c r="DX19" s="39">
        <v>2</v>
      </c>
      <c r="DY19" s="39">
        <v>1</v>
      </c>
      <c r="DZ19" s="39">
        <v>9</v>
      </c>
      <c r="EA19" s="39">
        <v>0</v>
      </c>
      <c r="EB19" s="39">
        <v>2</v>
      </c>
      <c r="EC19" s="39">
        <v>1</v>
      </c>
      <c r="ED19" s="39">
        <v>1</v>
      </c>
      <c r="EE19" s="39">
        <v>0</v>
      </c>
      <c r="EF19" s="39">
        <v>0</v>
      </c>
      <c r="EG19" s="39">
        <v>1</v>
      </c>
      <c r="EH19" s="39">
        <v>0</v>
      </c>
      <c r="EI19" s="39">
        <v>0</v>
      </c>
      <c r="EJ19" s="39">
        <v>1</v>
      </c>
      <c r="EK19" s="39">
        <v>0</v>
      </c>
      <c r="EL19" s="39">
        <v>1</v>
      </c>
      <c r="EM19" s="39">
        <v>3.6</v>
      </c>
      <c r="EN19" s="39">
        <v>3</v>
      </c>
      <c r="EO19" s="39">
        <v>15.4</v>
      </c>
      <c r="EP19" s="39"/>
    </row>
    <row r="20" spans="1:146" x14ac:dyDescent="0.25">
      <c r="A20" s="39">
        <v>2403</v>
      </c>
      <c r="B20" s="39" t="s">
        <v>230</v>
      </c>
      <c r="C20" s="39">
        <v>10</v>
      </c>
      <c r="D20" s="39">
        <v>1</v>
      </c>
      <c r="E20" s="39">
        <v>9</v>
      </c>
      <c r="F20" s="39">
        <v>0</v>
      </c>
      <c r="G20" s="39">
        <v>10</v>
      </c>
      <c r="H20" s="39">
        <v>9</v>
      </c>
      <c r="I20" s="39">
        <v>0.9</v>
      </c>
      <c r="J20" s="39">
        <v>0</v>
      </c>
      <c r="K20" s="39">
        <v>0</v>
      </c>
      <c r="L20" s="39">
        <v>95</v>
      </c>
      <c r="M20" s="39">
        <v>1.9</v>
      </c>
      <c r="N20" s="39">
        <v>2</v>
      </c>
      <c r="O20" s="39">
        <v>19</v>
      </c>
      <c r="P20" s="39">
        <v>20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0.2</v>
      </c>
      <c r="W20" s="39">
        <v>0</v>
      </c>
      <c r="X20" s="39">
        <v>0</v>
      </c>
      <c r="Y20" s="39">
        <v>0</v>
      </c>
      <c r="Z20" s="39">
        <v>0</v>
      </c>
      <c r="AA20" s="39">
        <v>0</v>
      </c>
      <c r="AB20" s="39">
        <v>0.3</v>
      </c>
      <c r="AC20" s="39">
        <v>0</v>
      </c>
      <c r="AD20" s="39">
        <v>0</v>
      </c>
      <c r="AE20" s="39">
        <v>0.1</v>
      </c>
      <c r="AF20" s="39">
        <v>0</v>
      </c>
      <c r="AG20" s="39">
        <v>1</v>
      </c>
      <c r="AH20" s="39">
        <v>61</v>
      </c>
      <c r="AI20" s="39">
        <v>6.1</v>
      </c>
      <c r="AJ20" s="39">
        <v>8</v>
      </c>
      <c r="AK20" s="39">
        <v>12</v>
      </c>
      <c r="AL20" s="39">
        <v>1.2</v>
      </c>
      <c r="AM20" s="39">
        <v>88.888999999999996</v>
      </c>
      <c r="AN20" s="39">
        <v>0.8</v>
      </c>
      <c r="AO20" s="39">
        <v>0.9</v>
      </c>
      <c r="AP20" s="39">
        <v>8</v>
      </c>
      <c r="AQ20" s="39">
        <v>9</v>
      </c>
      <c r="AR20" s="39">
        <v>18</v>
      </c>
      <c r="AS20" s="39">
        <v>1.8</v>
      </c>
      <c r="AT20" s="39">
        <v>23</v>
      </c>
      <c r="AU20" s="39">
        <v>2.2999999999999998</v>
      </c>
      <c r="AV20" s="39">
        <v>100</v>
      </c>
      <c r="AW20" s="39">
        <v>0.1</v>
      </c>
      <c r="AX20" s="39">
        <v>0.1</v>
      </c>
      <c r="AY20" s="39">
        <v>1</v>
      </c>
      <c r="AZ20" s="39">
        <v>1</v>
      </c>
      <c r="BA20" s="39">
        <v>69.230999999999995</v>
      </c>
      <c r="BB20" s="39">
        <v>0.9</v>
      </c>
      <c r="BC20" s="39">
        <v>1.3</v>
      </c>
      <c r="BD20" s="39">
        <v>9</v>
      </c>
      <c r="BE20" s="39">
        <v>13</v>
      </c>
      <c r="BF20" s="39">
        <v>83.332999999999998</v>
      </c>
      <c r="BG20" s="39">
        <v>1</v>
      </c>
      <c r="BH20" s="39">
        <v>1.2</v>
      </c>
      <c r="BI20" s="39">
        <v>10</v>
      </c>
      <c r="BJ20" s="39">
        <v>12</v>
      </c>
      <c r="BK20" s="39">
        <v>83.332999999999998</v>
      </c>
      <c r="BL20" s="39">
        <v>1.5</v>
      </c>
      <c r="BM20" s="39">
        <v>1.8</v>
      </c>
      <c r="BN20" s="39">
        <v>15</v>
      </c>
      <c r="BO20" s="39">
        <v>18</v>
      </c>
      <c r="BP20" s="39">
        <v>100</v>
      </c>
      <c r="BQ20" s="39">
        <v>1.4</v>
      </c>
      <c r="BR20" s="39">
        <v>1.4</v>
      </c>
      <c r="BS20" s="39">
        <v>14</v>
      </c>
      <c r="BT20" s="39">
        <v>14</v>
      </c>
      <c r="BU20" s="39">
        <v>49</v>
      </c>
      <c r="BV20" s="39">
        <v>4.9000000000000004</v>
      </c>
      <c r="BW20" s="39">
        <v>8</v>
      </c>
      <c r="BX20" s="39">
        <v>2</v>
      </c>
      <c r="BY20" s="39">
        <v>0.2</v>
      </c>
      <c r="BZ20" s="39">
        <v>0</v>
      </c>
      <c r="CA20" s="39">
        <v>0</v>
      </c>
      <c r="CB20" s="39">
        <v>0</v>
      </c>
      <c r="CC20" s="39">
        <v>22</v>
      </c>
      <c r="CD20" s="39">
        <v>1</v>
      </c>
      <c r="CE20" s="39">
        <v>0</v>
      </c>
      <c r="CF20" s="39">
        <v>75</v>
      </c>
      <c r="CG20" s="39">
        <v>3</v>
      </c>
      <c r="CH20" s="39">
        <v>4</v>
      </c>
      <c r="CI20" s="39">
        <v>100</v>
      </c>
      <c r="CJ20" s="39">
        <v>1</v>
      </c>
      <c r="CK20" s="39">
        <v>1</v>
      </c>
      <c r="CL20" s="39">
        <v>0</v>
      </c>
      <c r="CM20" s="39">
        <v>0</v>
      </c>
      <c r="CN20" s="39">
        <v>0</v>
      </c>
      <c r="CO20" s="39">
        <v>0</v>
      </c>
      <c r="CP20" s="39">
        <v>2</v>
      </c>
      <c r="CQ20" s="39">
        <v>13.5</v>
      </c>
      <c r="CR20" s="39">
        <v>0</v>
      </c>
      <c r="CS20" s="39">
        <v>12</v>
      </c>
      <c r="CT20" s="39">
        <v>5.2080000000000002</v>
      </c>
      <c r="CU20" s="39">
        <v>7.96</v>
      </c>
      <c r="CV20" s="39">
        <v>0</v>
      </c>
      <c r="CW20" s="39">
        <v>18</v>
      </c>
      <c r="CX20" s="39">
        <v>25</v>
      </c>
      <c r="CY20" s="39">
        <v>10</v>
      </c>
      <c r="CZ20" s="39">
        <v>0</v>
      </c>
      <c r="DA20" s="39">
        <v>8</v>
      </c>
      <c r="DB20" s="39">
        <v>0</v>
      </c>
      <c r="DC20" s="39">
        <v>8</v>
      </c>
      <c r="DD20" s="39">
        <v>0</v>
      </c>
      <c r="DE20" s="39">
        <v>9.1999999999999993</v>
      </c>
      <c r="DF20" s="39">
        <v>0</v>
      </c>
      <c r="DG20" s="39">
        <v>2</v>
      </c>
      <c r="DH20" s="39">
        <v>0</v>
      </c>
      <c r="DI20" s="39">
        <v>1</v>
      </c>
      <c r="DJ20" s="39">
        <v>13</v>
      </c>
      <c r="DK20" s="39">
        <v>17</v>
      </c>
      <c r="DL20" s="39">
        <v>0</v>
      </c>
      <c r="DM20" s="39">
        <v>2</v>
      </c>
      <c r="DN20" s="39">
        <v>1</v>
      </c>
      <c r="DO20" s="39">
        <v>1</v>
      </c>
      <c r="DP20" s="39">
        <v>0</v>
      </c>
      <c r="DQ20" s="39">
        <v>2</v>
      </c>
      <c r="DR20" s="39">
        <v>0</v>
      </c>
      <c r="DS20" s="39">
        <v>1</v>
      </c>
      <c r="DT20" s="39">
        <v>0</v>
      </c>
      <c r="DU20" s="39">
        <v>9</v>
      </c>
      <c r="DV20" s="39">
        <v>0</v>
      </c>
      <c r="DW20" s="39">
        <v>1</v>
      </c>
      <c r="DX20" s="39">
        <v>0</v>
      </c>
      <c r="DY20" s="39">
        <v>1</v>
      </c>
      <c r="DZ20" s="39">
        <v>8</v>
      </c>
      <c r="EA20" s="39">
        <v>7</v>
      </c>
      <c r="EB20" s="39">
        <v>0</v>
      </c>
      <c r="EC20" s="39">
        <v>1</v>
      </c>
      <c r="ED20" s="39">
        <v>1</v>
      </c>
      <c r="EE20" s="39">
        <v>1</v>
      </c>
      <c r="EF20" s="39">
        <v>0</v>
      </c>
      <c r="EG20" s="39">
        <v>1</v>
      </c>
      <c r="EH20" s="39">
        <v>0</v>
      </c>
      <c r="EI20" s="39">
        <v>1</v>
      </c>
      <c r="EJ20" s="39">
        <v>0</v>
      </c>
      <c r="EK20" s="39">
        <v>4</v>
      </c>
      <c r="EL20" s="39">
        <v>0</v>
      </c>
      <c r="EM20" s="39">
        <v>3.3</v>
      </c>
      <c r="EN20" s="39">
        <v>2</v>
      </c>
      <c r="EO20" s="39">
        <v>11</v>
      </c>
      <c r="EP20" s="39"/>
    </row>
    <row r="21" spans="1:146" x14ac:dyDescent="0.25">
      <c r="A21" s="39">
        <v>2840</v>
      </c>
      <c r="B21" s="39" t="s">
        <v>231</v>
      </c>
      <c r="C21" s="39">
        <v>10</v>
      </c>
      <c r="D21" s="39">
        <v>2</v>
      </c>
      <c r="E21" s="39">
        <v>0</v>
      </c>
      <c r="F21" s="39">
        <v>8</v>
      </c>
      <c r="G21" s="39">
        <v>9</v>
      </c>
      <c r="H21" s="39">
        <v>0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>
        <v>0</v>
      </c>
      <c r="V21" s="39">
        <v>0</v>
      </c>
      <c r="W21" s="39">
        <v>0</v>
      </c>
      <c r="X21" s="39">
        <v>0</v>
      </c>
      <c r="Y21" s="39">
        <v>0</v>
      </c>
      <c r="Z21" s="39">
        <v>0</v>
      </c>
      <c r="AA21" s="39">
        <v>0</v>
      </c>
      <c r="AB21" s="39">
        <v>0</v>
      </c>
      <c r="AC21" s="39">
        <v>0</v>
      </c>
      <c r="AD21" s="39">
        <v>0</v>
      </c>
      <c r="AE21" s="39">
        <v>0</v>
      </c>
      <c r="AF21" s="39">
        <v>0</v>
      </c>
      <c r="AG21" s="39">
        <v>0</v>
      </c>
      <c r="AH21" s="39">
        <v>32</v>
      </c>
      <c r="AI21" s="39">
        <v>3.2</v>
      </c>
      <c r="AJ21" s="39">
        <v>7</v>
      </c>
      <c r="AK21" s="39">
        <v>15</v>
      </c>
      <c r="AL21" s="39">
        <v>1.5</v>
      </c>
      <c r="AM21" s="39">
        <v>0</v>
      </c>
      <c r="AN21" s="39">
        <v>0</v>
      </c>
      <c r="AO21" s="39">
        <v>0</v>
      </c>
      <c r="AP21" s="39">
        <v>0</v>
      </c>
      <c r="AQ21" s="39">
        <v>0</v>
      </c>
      <c r="AR21" s="39">
        <v>17</v>
      </c>
      <c r="AS21" s="39">
        <v>1.7</v>
      </c>
      <c r="AT21" s="39">
        <v>0</v>
      </c>
      <c r="AU21" s="39">
        <v>0</v>
      </c>
      <c r="AV21" s="39">
        <v>100</v>
      </c>
      <c r="AW21" s="39">
        <v>1.4</v>
      </c>
      <c r="AX21" s="39">
        <v>1.4</v>
      </c>
      <c r="AY21" s="39">
        <v>14</v>
      </c>
      <c r="AZ21" s="39">
        <v>14</v>
      </c>
      <c r="BA21" s="39">
        <v>100</v>
      </c>
      <c r="BB21" s="39">
        <v>0.2</v>
      </c>
      <c r="BC21" s="39">
        <v>0.2</v>
      </c>
      <c r="BD21" s="39">
        <v>2</v>
      </c>
      <c r="BE21" s="39">
        <v>2</v>
      </c>
      <c r="BF21" s="39">
        <v>0</v>
      </c>
      <c r="BG21" s="39">
        <v>0</v>
      </c>
      <c r="BH21" s="39">
        <v>0</v>
      </c>
      <c r="BI21" s="39">
        <v>0</v>
      </c>
      <c r="BJ21" s="39">
        <v>0</v>
      </c>
      <c r="BK21" s="39">
        <v>0</v>
      </c>
      <c r="BL21" s="39">
        <v>0</v>
      </c>
      <c r="BM21" s="39">
        <v>0</v>
      </c>
      <c r="BN21" s="39">
        <v>0</v>
      </c>
      <c r="BO21" s="39">
        <v>0</v>
      </c>
      <c r="BP21" s="39">
        <v>100</v>
      </c>
      <c r="BQ21" s="39">
        <v>2.2000000000000002</v>
      </c>
      <c r="BR21" s="39">
        <v>2.2000000000000002</v>
      </c>
      <c r="BS21" s="39">
        <v>22</v>
      </c>
      <c r="BT21" s="39">
        <v>22</v>
      </c>
      <c r="BU21" s="39">
        <v>38</v>
      </c>
      <c r="BV21" s="39">
        <v>3.8</v>
      </c>
      <c r="BW21" s="39">
        <v>8</v>
      </c>
      <c r="BX21" s="39">
        <v>3</v>
      </c>
      <c r="BY21" s="39">
        <v>0.3</v>
      </c>
      <c r="BZ21" s="39">
        <v>0</v>
      </c>
      <c r="CA21" s="39">
        <v>0</v>
      </c>
      <c r="CB21" s="39">
        <v>0</v>
      </c>
      <c r="CC21" s="39">
        <v>0</v>
      </c>
      <c r="CD21" s="39">
        <v>0</v>
      </c>
      <c r="CE21" s="39">
        <v>0</v>
      </c>
      <c r="CF21" s="39">
        <v>0</v>
      </c>
      <c r="CG21" s="39">
        <v>0</v>
      </c>
      <c r="CH21" s="39">
        <v>0</v>
      </c>
      <c r="CI21" s="39">
        <v>0</v>
      </c>
      <c r="CJ21" s="39">
        <v>0</v>
      </c>
      <c r="CK21" s="39">
        <v>0</v>
      </c>
      <c r="CL21" s="39">
        <v>0</v>
      </c>
      <c r="CM21" s="39">
        <v>0</v>
      </c>
      <c r="CN21" s="39">
        <v>0</v>
      </c>
      <c r="CO21" s="39">
        <v>0</v>
      </c>
      <c r="CP21" s="39">
        <v>7</v>
      </c>
      <c r="CQ21" s="39">
        <v>0</v>
      </c>
      <c r="CR21" s="39">
        <v>10.667</v>
      </c>
      <c r="CS21" s="39">
        <v>0</v>
      </c>
      <c r="CT21" s="39">
        <v>8.6829999999999998</v>
      </c>
      <c r="CU21" s="39">
        <v>0</v>
      </c>
      <c r="CV21" s="39">
        <v>0</v>
      </c>
      <c r="CW21" s="39">
        <v>0</v>
      </c>
      <c r="CX21" s="39">
        <v>0</v>
      </c>
      <c r="CY21" s="39">
        <v>0</v>
      </c>
      <c r="CZ21" s="39">
        <v>0</v>
      </c>
      <c r="DA21" s="39">
        <v>0</v>
      </c>
      <c r="DB21" s="39">
        <v>0</v>
      </c>
      <c r="DC21" s="39">
        <v>0</v>
      </c>
      <c r="DD21" s="39">
        <v>8</v>
      </c>
      <c r="DE21" s="39">
        <v>22.5</v>
      </c>
      <c r="DF21" s="39">
        <v>20.6</v>
      </c>
      <c r="DG21" s="39">
        <v>0</v>
      </c>
      <c r="DH21" s="39">
        <v>4</v>
      </c>
      <c r="DI21" s="39">
        <v>0</v>
      </c>
      <c r="DJ21" s="39">
        <v>13</v>
      </c>
      <c r="DK21" s="39">
        <v>0</v>
      </c>
      <c r="DL21" s="39">
        <v>0</v>
      </c>
      <c r="DM21" s="39">
        <v>0</v>
      </c>
      <c r="DN21" s="39">
        <v>0</v>
      </c>
      <c r="DO21" s="39">
        <v>0</v>
      </c>
      <c r="DP21" s="39">
        <v>0</v>
      </c>
      <c r="DQ21" s="39">
        <v>0</v>
      </c>
      <c r="DR21" s="39">
        <v>0</v>
      </c>
      <c r="DS21" s="39">
        <v>0</v>
      </c>
      <c r="DT21" s="39">
        <v>4</v>
      </c>
      <c r="DU21" s="39">
        <v>2</v>
      </c>
      <c r="DV21" s="39">
        <v>8</v>
      </c>
      <c r="DW21" s="39">
        <v>0</v>
      </c>
      <c r="DX21" s="39">
        <v>2</v>
      </c>
      <c r="DY21" s="39">
        <v>0</v>
      </c>
      <c r="DZ21" s="39">
        <v>5</v>
      </c>
      <c r="EA21" s="39">
        <v>0</v>
      </c>
      <c r="EB21" s="39">
        <v>0</v>
      </c>
      <c r="EC21" s="39">
        <v>0</v>
      </c>
      <c r="ED21" s="39">
        <v>0</v>
      </c>
      <c r="EE21" s="39">
        <v>0</v>
      </c>
      <c r="EF21" s="39">
        <v>0</v>
      </c>
      <c r="EG21" s="39">
        <v>0</v>
      </c>
      <c r="EH21" s="39">
        <v>0</v>
      </c>
      <c r="EI21" s="39">
        <v>0</v>
      </c>
      <c r="EJ21" s="39">
        <v>2</v>
      </c>
      <c r="EK21" s="39">
        <v>1</v>
      </c>
      <c r="EL21" s="39">
        <v>3</v>
      </c>
      <c r="EM21" s="39">
        <v>2.2999999999999998</v>
      </c>
      <c r="EN21" s="39">
        <v>3</v>
      </c>
      <c r="EO21" s="39">
        <v>7</v>
      </c>
      <c r="EP21" s="39"/>
    </row>
    <row r="22" spans="1:146" x14ac:dyDescent="0.25">
      <c r="A22" s="39">
        <v>2905</v>
      </c>
      <c r="B22" s="39" t="s">
        <v>232</v>
      </c>
      <c r="C22" s="39">
        <v>9</v>
      </c>
      <c r="D22" s="39">
        <v>3</v>
      </c>
      <c r="E22" s="39">
        <v>3</v>
      </c>
      <c r="F22" s="39">
        <v>3</v>
      </c>
      <c r="G22" s="39">
        <v>8</v>
      </c>
      <c r="H22" s="39">
        <v>0</v>
      </c>
      <c r="I22" s="39">
        <v>0</v>
      </c>
      <c r="J22" s="39">
        <v>0</v>
      </c>
      <c r="K22" s="39">
        <v>0</v>
      </c>
      <c r="L22" s="39">
        <v>66.599999999999994</v>
      </c>
      <c r="M22" s="39">
        <v>0.222</v>
      </c>
      <c r="N22" s="39">
        <v>0.33300000000000002</v>
      </c>
      <c r="O22" s="39">
        <v>2</v>
      </c>
      <c r="P22" s="39">
        <v>3</v>
      </c>
      <c r="Q22" s="39">
        <v>0</v>
      </c>
      <c r="R22" s="39">
        <v>0</v>
      </c>
      <c r="S22" s="39">
        <v>0</v>
      </c>
      <c r="T22" s="39">
        <v>0</v>
      </c>
      <c r="U22" s="39">
        <v>0</v>
      </c>
      <c r="V22" s="39">
        <v>0.111</v>
      </c>
      <c r="W22" s="39">
        <v>0</v>
      </c>
      <c r="X22" s="39">
        <v>0</v>
      </c>
      <c r="Y22" s="39">
        <v>0</v>
      </c>
      <c r="Z22" s="39">
        <v>0</v>
      </c>
      <c r="AA22" s="39">
        <v>0</v>
      </c>
      <c r="AB22" s="39">
        <v>0</v>
      </c>
      <c r="AC22" s="39">
        <v>0</v>
      </c>
      <c r="AD22" s="39">
        <v>0</v>
      </c>
      <c r="AE22" s="39">
        <v>0</v>
      </c>
      <c r="AF22" s="39">
        <v>0</v>
      </c>
      <c r="AG22" s="39">
        <v>0</v>
      </c>
      <c r="AH22" s="39">
        <v>22</v>
      </c>
      <c r="AI22" s="39">
        <v>2.444</v>
      </c>
      <c r="AJ22" s="39">
        <v>5</v>
      </c>
      <c r="AK22" s="39">
        <v>4</v>
      </c>
      <c r="AL22" s="39">
        <v>0.44400000000000001</v>
      </c>
      <c r="AM22" s="39">
        <v>0</v>
      </c>
      <c r="AN22" s="39">
        <v>0</v>
      </c>
      <c r="AO22" s="39">
        <v>0</v>
      </c>
      <c r="AP22" s="39">
        <v>0</v>
      </c>
      <c r="AQ22" s="39">
        <v>0</v>
      </c>
      <c r="AR22" s="39">
        <v>16</v>
      </c>
      <c r="AS22" s="39">
        <v>1.778</v>
      </c>
      <c r="AT22" s="39">
        <v>2</v>
      </c>
      <c r="AU22" s="39">
        <v>0.222</v>
      </c>
      <c r="AV22" s="39">
        <v>60</v>
      </c>
      <c r="AW22" s="39">
        <v>0.33300000000000002</v>
      </c>
      <c r="AX22" s="39">
        <v>0.55600000000000005</v>
      </c>
      <c r="AY22" s="39">
        <v>3</v>
      </c>
      <c r="AZ22" s="39">
        <v>5</v>
      </c>
      <c r="BA22" s="39">
        <v>100</v>
      </c>
      <c r="BB22" s="39">
        <v>0.222</v>
      </c>
      <c r="BC22" s="39">
        <v>0.222</v>
      </c>
      <c r="BD22" s="39">
        <v>2</v>
      </c>
      <c r="BE22" s="39">
        <v>2</v>
      </c>
      <c r="BF22" s="39">
        <v>50</v>
      </c>
      <c r="BG22" s="39">
        <v>0.111</v>
      </c>
      <c r="BH22" s="39">
        <v>0.222</v>
      </c>
      <c r="BI22" s="39">
        <v>1</v>
      </c>
      <c r="BJ22" s="39">
        <v>2</v>
      </c>
      <c r="BK22" s="39">
        <v>100</v>
      </c>
      <c r="BL22" s="39">
        <v>0.44400000000000001</v>
      </c>
      <c r="BM22" s="39">
        <v>0.44400000000000001</v>
      </c>
      <c r="BN22" s="39">
        <v>4</v>
      </c>
      <c r="BO22" s="39">
        <v>4</v>
      </c>
      <c r="BP22" s="39">
        <v>100</v>
      </c>
      <c r="BQ22" s="39">
        <v>1.222</v>
      </c>
      <c r="BR22" s="39">
        <v>1.222</v>
      </c>
      <c r="BS22" s="39">
        <v>11</v>
      </c>
      <c r="BT22" s="39">
        <v>11</v>
      </c>
      <c r="BU22" s="39">
        <v>21</v>
      </c>
      <c r="BV22" s="39">
        <v>2.3330000000000002</v>
      </c>
      <c r="BW22" s="39">
        <v>4</v>
      </c>
      <c r="BX22" s="39">
        <v>1</v>
      </c>
      <c r="BY22" s="39">
        <v>0.111</v>
      </c>
      <c r="BZ22" s="39">
        <v>0</v>
      </c>
      <c r="CA22" s="39">
        <v>0</v>
      </c>
      <c r="CB22" s="39">
        <v>0</v>
      </c>
      <c r="CC22" s="39">
        <v>11</v>
      </c>
      <c r="CD22" s="39">
        <v>1</v>
      </c>
      <c r="CE22" s="39">
        <v>0</v>
      </c>
      <c r="CF22" s="39">
        <v>50</v>
      </c>
      <c r="CG22" s="39">
        <v>1</v>
      </c>
      <c r="CH22" s="39">
        <v>2</v>
      </c>
      <c r="CI22" s="39">
        <v>0</v>
      </c>
      <c r="CJ22" s="39">
        <v>0</v>
      </c>
      <c r="CK22" s="39">
        <v>0</v>
      </c>
      <c r="CL22" s="39">
        <v>0</v>
      </c>
      <c r="CM22" s="39">
        <v>0</v>
      </c>
      <c r="CN22" s="39">
        <v>0</v>
      </c>
      <c r="CO22" s="39">
        <v>0</v>
      </c>
      <c r="CP22" s="39">
        <v>2</v>
      </c>
      <c r="CQ22" s="39">
        <v>15</v>
      </c>
      <c r="CR22" s="39">
        <v>4</v>
      </c>
      <c r="CS22" s="39">
        <v>0</v>
      </c>
      <c r="CT22" s="39">
        <v>11.125</v>
      </c>
      <c r="CU22" s="39">
        <v>21</v>
      </c>
      <c r="CV22" s="39">
        <v>8</v>
      </c>
      <c r="CW22" s="39">
        <v>20</v>
      </c>
      <c r="CX22" s="39">
        <v>0</v>
      </c>
      <c r="CY22" s="39">
        <v>0</v>
      </c>
      <c r="CZ22" s="39">
        <v>0</v>
      </c>
      <c r="DA22" s="39">
        <v>11</v>
      </c>
      <c r="DB22" s="39">
        <v>0</v>
      </c>
      <c r="DC22" s="39">
        <v>11</v>
      </c>
      <c r="DD22" s="39">
        <v>6</v>
      </c>
      <c r="DE22" s="39">
        <v>0</v>
      </c>
      <c r="DF22" s="39">
        <v>0</v>
      </c>
      <c r="DG22" s="39">
        <v>3</v>
      </c>
      <c r="DH22" s="39">
        <v>1</v>
      </c>
      <c r="DI22" s="39">
        <v>0</v>
      </c>
      <c r="DJ22" s="39">
        <v>10</v>
      </c>
      <c r="DK22" s="39">
        <v>2</v>
      </c>
      <c r="DL22" s="39">
        <v>1</v>
      </c>
      <c r="DM22" s="39">
        <v>1</v>
      </c>
      <c r="DN22" s="39">
        <v>0</v>
      </c>
      <c r="DO22" s="39">
        <v>0</v>
      </c>
      <c r="DP22" s="39">
        <v>0</v>
      </c>
      <c r="DQ22" s="39">
        <v>1</v>
      </c>
      <c r="DR22" s="39">
        <v>0</v>
      </c>
      <c r="DS22" s="39">
        <v>1</v>
      </c>
      <c r="DT22" s="39">
        <v>1</v>
      </c>
      <c r="DU22" s="39">
        <v>0</v>
      </c>
      <c r="DV22" s="39">
        <v>0</v>
      </c>
      <c r="DW22" s="39">
        <v>1</v>
      </c>
      <c r="DX22" s="39">
        <v>1</v>
      </c>
      <c r="DY22" s="39">
        <v>0</v>
      </c>
      <c r="DZ22" s="39">
        <v>3</v>
      </c>
      <c r="EA22" s="39">
        <v>1</v>
      </c>
      <c r="EB22" s="39">
        <v>1</v>
      </c>
      <c r="EC22" s="39">
        <v>1</v>
      </c>
      <c r="ED22" s="39">
        <v>0</v>
      </c>
      <c r="EE22" s="39">
        <v>0</v>
      </c>
      <c r="EF22" s="39">
        <v>0</v>
      </c>
      <c r="EG22" s="39">
        <v>1</v>
      </c>
      <c r="EH22" s="39">
        <v>0</v>
      </c>
      <c r="EI22" s="39">
        <v>1</v>
      </c>
      <c r="EJ22" s="39">
        <v>1</v>
      </c>
      <c r="EK22" s="39">
        <v>0</v>
      </c>
      <c r="EL22" s="39">
        <v>0</v>
      </c>
      <c r="EM22" s="39">
        <v>2.222</v>
      </c>
      <c r="EN22" s="39">
        <v>3</v>
      </c>
      <c r="EO22" s="39">
        <v>4.7770000000000001</v>
      </c>
      <c r="EP22" s="39"/>
    </row>
    <row r="23" spans="1:146" x14ac:dyDescent="0.25">
      <c r="A23" s="39">
        <v>2980</v>
      </c>
      <c r="B23" s="39" t="s">
        <v>233</v>
      </c>
      <c r="C23" s="39">
        <v>10</v>
      </c>
      <c r="D23" s="39">
        <v>3</v>
      </c>
      <c r="E23" s="39">
        <v>3</v>
      </c>
      <c r="F23" s="39">
        <v>4</v>
      </c>
      <c r="G23" s="39">
        <v>9</v>
      </c>
      <c r="H23" s="39">
        <v>0</v>
      </c>
      <c r="I23" s="39">
        <v>0</v>
      </c>
      <c r="J23" s="39">
        <v>0</v>
      </c>
      <c r="K23" s="39">
        <v>0</v>
      </c>
      <c r="L23" s="39">
        <v>100</v>
      </c>
      <c r="M23" s="39">
        <v>0.1</v>
      </c>
      <c r="N23" s="39">
        <v>0.1</v>
      </c>
      <c r="O23" s="39">
        <v>1</v>
      </c>
      <c r="P23" s="39">
        <v>1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>
        <v>0</v>
      </c>
      <c r="W23" s="39">
        <v>0</v>
      </c>
      <c r="X23" s="39">
        <v>0</v>
      </c>
      <c r="Y23" s="39">
        <v>0</v>
      </c>
      <c r="Z23" s="39">
        <v>0</v>
      </c>
      <c r="AA23" s="39">
        <v>0</v>
      </c>
      <c r="AB23" s="39">
        <v>0</v>
      </c>
      <c r="AC23" s="39">
        <v>0</v>
      </c>
      <c r="AD23" s="39">
        <v>0</v>
      </c>
      <c r="AE23" s="39">
        <v>0</v>
      </c>
      <c r="AF23" s="39">
        <v>0</v>
      </c>
      <c r="AG23" s="39">
        <v>0</v>
      </c>
      <c r="AH23" s="39">
        <v>12</v>
      </c>
      <c r="AI23" s="39">
        <v>1.2</v>
      </c>
      <c r="AJ23" s="39">
        <v>3</v>
      </c>
      <c r="AK23" s="39">
        <v>4</v>
      </c>
      <c r="AL23" s="39">
        <v>0.4</v>
      </c>
      <c r="AM23" s="39">
        <v>100</v>
      </c>
      <c r="AN23" s="39">
        <v>0.2</v>
      </c>
      <c r="AO23" s="39">
        <v>0.2</v>
      </c>
      <c r="AP23" s="39">
        <v>2</v>
      </c>
      <c r="AQ23" s="39">
        <v>2</v>
      </c>
      <c r="AR23" s="39">
        <v>4</v>
      </c>
      <c r="AS23" s="39">
        <v>0.4</v>
      </c>
      <c r="AT23" s="39">
        <v>2</v>
      </c>
      <c r="AU23" s="39">
        <v>0.2</v>
      </c>
      <c r="AV23" s="39">
        <v>85.713999999999999</v>
      </c>
      <c r="AW23" s="39">
        <v>0.6</v>
      </c>
      <c r="AX23" s="39">
        <v>0.7</v>
      </c>
      <c r="AY23" s="39">
        <v>6</v>
      </c>
      <c r="AZ23" s="39">
        <v>7</v>
      </c>
      <c r="BA23" s="39">
        <v>100</v>
      </c>
      <c r="BB23" s="39">
        <v>0.1</v>
      </c>
      <c r="BC23" s="39">
        <v>0.1</v>
      </c>
      <c r="BD23" s="39">
        <v>1</v>
      </c>
      <c r="BE23" s="39">
        <v>1</v>
      </c>
      <c r="BF23" s="39">
        <v>0</v>
      </c>
      <c r="BG23" s="39">
        <v>0</v>
      </c>
      <c r="BH23" s="39">
        <v>0</v>
      </c>
      <c r="BI23" s="39">
        <v>0</v>
      </c>
      <c r="BJ23" s="39">
        <v>0</v>
      </c>
      <c r="BK23" s="39">
        <v>100</v>
      </c>
      <c r="BL23" s="39">
        <v>0.2</v>
      </c>
      <c r="BM23" s="39">
        <v>0.2</v>
      </c>
      <c r="BN23" s="39">
        <v>2</v>
      </c>
      <c r="BO23" s="39">
        <v>2</v>
      </c>
      <c r="BP23" s="39">
        <v>85.713999999999999</v>
      </c>
      <c r="BQ23" s="39">
        <v>0.6</v>
      </c>
      <c r="BR23" s="39">
        <v>0.7</v>
      </c>
      <c r="BS23" s="39">
        <v>6</v>
      </c>
      <c r="BT23" s="39">
        <v>7</v>
      </c>
      <c r="BU23" s="39">
        <v>15</v>
      </c>
      <c r="BV23" s="39">
        <v>1.5</v>
      </c>
      <c r="BW23" s="39">
        <v>4</v>
      </c>
      <c r="BX23" s="39">
        <v>1</v>
      </c>
      <c r="BY23" s="39">
        <v>0.1</v>
      </c>
      <c r="BZ23" s="39">
        <v>0</v>
      </c>
      <c r="CA23" s="39">
        <v>0</v>
      </c>
      <c r="CB23" s="39">
        <v>0</v>
      </c>
      <c r="CC23" s="39">
        <v>1</v>
      </c>
      <c r="CD23" s="39">
        <v>3</v>
      </c>
      <c r="CE23" s="39">
        <v>0</v>
      </c>
      <c r="CF23" s="39">
        <v>0</v>
      </c>
      <c r="CG23" s="39">
        <v>0</v>
      </c>
      <c r="CH23" s="39">
        <v>2</v>
      </c>
      <c r="CI23" s="39">
        <v>0</v>
      </c>
      <c r="CJ23" s="39">
        <v>0</v>
      </c>
      <c r="CK23" s="39">
        <v>0</v>
      </c>
      <c r="CL23" s="39">
        <v>0</v>
      </c>
      <c r="CM23" s="39">
        <v>0</v>
      </c>
      <c r="CN23" s="39">
        <v>0</v>
      </c>
      <c r="CO23" s="39">
        <v>0</v>
      </c>
      <c r="CP23" s="39">
        <v>3</v>
      </c>
      <c r="CQ23" s="39">
        <v>0</v>
      </c>
      <c r="CR23" s="39">
        <v>0</v>
      </c>
      <c r="CS23" s="39">
        <v>0</v>
      </c>
      <c r="CT23" s="39">
        <v>9.8330000000000002</v>
      </c>
      <c r="CU23" s="39">
        <v>19</v>
      </c>
      <c r="CV23" s="39">
        <v>0</v>
      </c>
      <c r="CW23" s="39">
        <v>0</v>
      </c>
      <c r="CX23" s="39">
        <v>0</v>
      </c>
      <c r="CY23" s="39">
        <v>0</v>
      </c>
      <c r="CZ23" s="39">
        <v>0</v>
      </c>
      <c r="DA23" s="39">
        <v>7</v>
      </c>
      <c r="DB23" s="39">
        <v>16</v>
      </c>
      <c r="DC23" s="39">
        <v>0</v>
      </c>
      <c r="DD23" s="39">
        <v>9.5</v>
      </c>
      <c r="DE23" s="39">
        <v>0</v>
      </c>
      <c r="DF23" s="39">
        <v>9.5</v>
      </c>
      <c r="DG23" s="39">
        <v>0</v>
      </c>
      <c r="DH23" s="39">
        <v>0</v>
      </c>
      <c r="DI23" s="39">
        <v>0</v>
      </c>
      <c r="DJ23" s="39">
        <v>4</v>
      </c>
      <c r="DK23" s="39">
        <v>2</v>
      </c>
      <c r="DL23" s="39">
        <v>0</v>
      </c>
      <c r="DM23" s="39">
        <v>0</v>
      </c>
      <c r="DN23" s="39">
        <v>0</v>
      </c>
      <c r="DO23" s="39">
        <v>0</v>
      </c>
      <c r="DP23" s="39">
        <v>0</v>
      </c>
      <c r="DQ23" s="39">
        <v>1</v>
      </c>
      <c r="DR23" s="39">
        <v>1</v>
      </c>
      <c r="DS23" s="39">
        <v>0</v>
      </c>
      <c r="DT23" s="39">
        <v>2</v>
      </c>
      <c r="DU23" s="39">
        <v>0</v>
      </c>
      <c r="DV23" s="39">
        <v>2</v>
      </c>
      <c r="DW23" s="39">
        <v>0</v>
      </c>
      <c r="DX23" s="39">
        <v>0</v>
      </c>
      <c r="DY23" s="39">
        <v>0</v>
      </c>
      <c r="DZ23" s="39">
        <v>2</v>
      </c>
      <c r="EA23" s="39">
        <v>2</v>
      </c>
      <c r="EB23" s="39">
        <v>0</v>
      </c>
      <c r="EC23" s="39">
        <v>0</v>
      </c>
      <c r="ED23" s="39">
        <v>0</v>
      </c>
      <c r="EE23" s="39">
        <v>0</v>
      </c>
      <c r="EF23" s="39">
        <v>0</v>
      </c>
      <c r="EG23" s="39">
        <v>1</v>
      </c>
      <c r="EH23" s="39">
        <v>1</v>
      </c>
      <c r="EI23" s="39">
        <v>0</v>
      </c>
      <c r="EJ23" s="39">
        <v>1</v>
      </c>
      <c r="EK23" s="39">
        <v>0</v>
      </c>
      <c r="EL23" s="39">
        <v>2</v>
      </c>
      <c r="EM23" s="39">
        <v>2.7</v>
      </c>
      <c r="EN23" s="39">
        <v>3</v>
      </c>
      <c r="EO23" s="39">
        <v>2.7</v>
      </c>
      <c r="EP23" s="39"/>
    </row>
    <row r="24" spans="1:146" x14ac:dyDescent="0.25">
      <c r="A24" s="39">
        <v>3128</v>
      </c>
      <c r="B24" s="39" t="s">
        <v>234</v>
      </c>
      <c r="C24" s="39">
        <v>10</v>
      </c>
      <c r="D24" s="39">
        <v>1</v>
      </c>
      <c r="E24" s="39">
        <v>9</v>
      </c>
      <c r="F24" s="39">
        <v>0</v>
      </c>
      <c r="G24" s="39">
        <v>9</v>
      </c>
      <c r="H24" s="39">
        <v>6</v>
      </c>
      <c r="I24" s="39">
        <v>0.6</v>
      </c>
      <c r="J24" s="39">
        <v>0</v>
      </c>
      <c r="K24" s="39">
        <v>0</v>
      </c>
      <c r="L24" s="39">
        <v>80</v>
      </c>
      <c r="M24" s="39">
        <v>1.2</v>
      </c>
      <c r="N24" s="39">
        <v>1.5</v>
      </c>
      <c r="O24" s="39">
        <v>12</v>
      </c>
      <c r="P24" s="39">
        <v>15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>
        <v>0.8</v>
      </c>
      <c r="W24" s="39">
        <v>0</v>
      </c>
      <c r="X24" s="39">
        <v>0</v>
      </c>
      <c r="Y24" s="39">
        <v>0</v>
      </c>
      <c r="Z24" s="39">
        <v>0</v>
      </c>
      <c r="AA24" s="39">
        <v>0</v>
      </c>
      <c r="AB24" s="39">
        <v>0.2</v>
      </c>
      <c r="AC24" s="39">
        <v>0</v>
      </c>
      <c r="AD24" s="39">
        <v>0</v>
      </c>
      <c r="AE24" s="39">
        <v>0</v>
      </c>
      <c r="AF24" s="39">
        <v>0</v>
      </c>
      <c r="AG24" s="39">
        <v>0</v>
      </c>
      <c r="AH24" s="39">
        <v>53</v>
      </c>
      <c r="AI24" s="39">
        <v>5.3</v>
      </c>
      <c r="AJ24" s="39">
        <v>8</v>
      </c>
      <c r="AK24" s="39">
        <v>10</v>
      </c>
      <c r="AL24" s="39">
        <v>1</v>
      </c>
      <c r="AM24" s="39">
        <v>100</v>
      </c>
      <c r="AN24" s="39">
        <v>0.6</v>
      </c>
      <c r="AO24" s="39">
        <v>0.6</v>
      </c>
      <c r="AP24" s="39">
        <v>6</v>
      </c>
      <c r="AQ24" s="39">
        <v>6</v>
      </c>
      <c r="AR24" s="39">
        <v>17</v>
      </c>
      <c r="AS24" s="39">
        <v>1.7</v>
      </c>
      <c r="AT24" s="39">
        <v>20</v>
      </c>
      <c r="AU24" s="39">
        <v>2</v>
      </c>
      <c r="AV24" s="39">
        <v>100</v>
      </c>
      <c r="AW24" s="39">
        <v>0.5</v>
      </c>
      <c r="AX24" s="39">
        <v>0.5</v>
      </c>
      <c r="AY24" s="39">
        <v>5</v>
      </c>
      <c r="AZ24" s="39">
        <v>5</v>
      </c>
      <c r="BA24" s="39">
        <v>100</v>
      </c>
      <c r="BB24" s="39">
        <v>0.5</v>
      </c>
      <c r="BC24" s="39">
        <v>0.5</v>
      </c>
      <c r="BD24" s="39">
        <v>5</v>
      </c>
      <c r="BE24" s="39">
        <v>5</v>
      </c>
      <c r="BF24" s="39">
        <v>65.216999999999999</v>
      </c>
      <c r="BG24" s="39">
        <v>1.5</v>
      </c>
      <c r="BH24" s="39">
        <v>2.2999999999999998</v>
      </c>
      <c r="BI24" s="39">
        <v>15</v>
      </c>
      <c r="BJ24" s="39">
        <v>23</v>
      </c>
      <c r="BK24" s="39">
        <v>87.5</v>
      </c>
      <c r="BL24" s="39">
        <v>1.4</v>
      </c>
      <c r="BM24" s="39">
        <v>1.6</v>
      </c>
      <c r="BN24" s="39">
        <v>14</v>
      </c>
      <c r="BO24" s="39">
        <v>16</v>
      </c>
      <c r="BP24" s="39">
        <v>100</v>
      </c>
      <c r="BQ24" s="39">
        <v>1.7</v>
      </c>
      <c r="BR24" s="39">
        <v>1.7</v>
      </c>
      <c r="BS24" s="39">
        <v>17</v>
      </c>
      <c r="BT24" s="39">
        <v>17</v>
      </c>
      <c r="BU24" s="39">
        <v>56</v>
      </c>
      <c r="BV24" s="39">
        <v>5.6</v>
      </c>
      <c r="BW24" s="39">
        <v>9</v>
      </c>
      <c r="BX24" s="39">
        <v>3</v>
      </c>
      <c r="BY24" s="39">
        <v>0.3</v>
      </c>
      <c r="BZ24" s="39">
        <v>0</v>
      </c>
      <c r="CA24" s="39">
        <v>0</v>
      </c>
      <c r="CB24" s="39">
        <v>0</v>
      </c>
      <c r="CC24" s="39">
        <v>11</v>
      </c>
      <c r="CD24" s="39">
        <v>2</v>
      </c>
      <c r="CE24" s="39">
        <v>0</v>
      </c>
      <c r="CF24" s="39">
        <v>100</v>
      </c>
      <c r="CG24" s="39">
        <v>6</v>
      </c>
      <c r="CH24" s="39">
        <v>6</v>
      </c>
      <c r="CI24" s="39">
        <v>100</v>
      </c>
      <c r="CJ24" s="39">
        <v>2</v>
      </c>
      <c r="CK24" s="39">
        <v>2</v>
      </c>
      <c r="CL24" s="39">
        <v>0</v>
      </c>
      <c r="CM24" s="39">
        <v>0</v>
      </c>
      <c r="CN24" s="39">
        <v>0</v>
      </c>
      <c r="CO24" s="39">
        <v>0</v>
      </c>
      <c r="CP24" s="39">
        <v>1</v>
      </c>
      <c r="CQ24" s="39">
        <v>10</v>
      </c>
      <c r="CR24" s="39">
        <v>2.5</v>
      </c>
      <c r="CS24" s="39">
        <v>2</v>
      </c>
      <c r="CT24" s="39">
        <v>4.3330000000000002</v>
      </c>
      <c r="CU24" s="39">
        <v>4.6829999999999998</v>
      </c>
      <c r="CV24" s="39">
        <v>6</v>
      </c>
      <c r="CW24" s="39">
        <v>4.5</v>
      </c>
      <c r="CX24" s="39">
        <v>0</v>
      </c>
      <c r="CY24" s="39">
        <v>7.6669999999999998</v>
      </c>
      <c r="CZ24" s="39">
        <v>0</v>
      </c>
      <c r="DA24" s="39">
        <v>0</v>
      </c>
      <c r="DB24" s="39">
        <v>0</v>
      </c>
      <c r="DC24" s="39">
        <v>5.4450000000000003</v>
      </c>
      <c r="DD24" s="39">
        <v>0</v>
      </c>
      <c r="DE24" s="39">
        <v>3.5</v>
      </c>
      <c r="DF24" s="39">
        <v>4</v>
      </c>
      <c r="DG24" s="39">
        <v>1</v>
      </c>
      <c r="DH24" s="39">
        <v>2</v>
      </c>
      <c r="DI24" s="39">
        <v>1</v>
      </c>
      <c r="DJ24" s="39">
        <v>16</v>
      </c>
      <c r="DK24" s="39">
        <v>23</v>
      </c>
      <c r="DL24" s="39">
        <v>1</v>
      </c>
      <c r="DM24" s="39">
        <v>2</v>
      </c>
      <c r="DN24" s="39">
        <v>0</v>
      </c>
      <c r="DO24" s="39">
        <v>3</v>
      </c>
      <c r="DP24" s="39">
        <v>0</v>
      </c>
      <c r="DQ24" s="39">
        <v>0</v>
      </c>
      <c r="DR24" s="39">
        <v>0</v>
      </c>
      <c r="DS24" s="39">
        <v>11</v>
      </c>
      <c r="DT24" s="39">
        <v>0</v>
      </c>
      <c r="DU24" s="39">
        <v>2</v>
      </c>
      <c r="DV24" s="39">
        <v>1</v>
      </c>
      <c r="DW24" s="39">
        <v>1</v>
      </c>
      <c r="DX24" s="39">
        <v>2</v>
      </c>
      <c r="DY24" s="39">
        <v>1</v>
      </c>
      <c r="DZ24" s="39">
        <v>6</v>
      </c>
      <c r="EA24" s="39">
        <v>5</v>
      </c>
      <c r="EB24" s="39">
        <v>1</v>
      </c>
      <c r="EC24" s="39">
        <v>2</v>
      </c>
      <c r="ED24" s="39">
        <v>0</v>
      </c>
      <c r="EE24" s="39">
        <v>3</v>
      </c>
      <c r="EF24" s="39">
        <v>0</v>
      </c>
      <c r="EG24" s="39">
        <v>0</v>
      </c>
      <c r="EH24" s="39">
        <v>0</v>
      </c>
      <c r="EI24" s="39">
        <v>3</v>
      </c>
      <c r="EJ24" s="39">
        <v>0</v>
      </c>
      <c r="EK24" s="39">
        <v>2</v>
      </c>
      <c r="EL24" s="39">
        <v>1</v>
      </c>
      <c r="EM24" s="39">
        <v>3.5</v>
      </c>
      <c r="EN24" s="39">
        <v>2</v>
      </c>
      <c r="EO24" s="39">
        <v>10.9</v>
      </c>
      <c r="EP24" s="39"/>
    </row>
    <row r="25" spans="1:146" x14ac:dyDescent="0.25">
      <c r="A25" s="39">
        <v>3140</v>
      </c>
      <c r="B25" s="39" t="s">
        <v>235</v>
      </c>
      <c r="C25" s="39">
        <v>10</v>
      </c>
      <c r="D25" s="39">
        <v>5</v>
      </c>
      <c r="E25" s="39">
        <v>3</v>
      </c>
      <c r="F25" s="39">
        <v>2</v>
      </c>
      <c r="G25" s="39">
        <v>9</v>
      </c>
      <c r="H25" s="39">
        <v>1</v>
      </c>
      <c r="I25" s="39">
        <v>0.1</v>
      </c>
      <c r="J25" s="39">
        <v>0</v>
      </c>
      <c r="K25" s="39">
        <v>0</v>
      </c>
      <c r="L25" s="39">
        <v>66.667000000000002</v>
      </c>
      <c r="M25" s="39">
        <v>0.4</v>
      </c>
      <c r="N25" s="39">
        <v>0.6</v>
      </c>
      <c r="O25" s="39">
        <v>4</v>
      </c>
      <c r="P25" s="39">
        <v>6</v>
      </c>
      <c r="Q25" s="39">
        <v>0</v>
      </c>
      <c r="R25" s="39">
        <v>0</v>
      </c>
      <c r="S25" s="39">
        <v>0</v>
      </c>
      <c r="T25" s="39">
        <v>0</v>
      </c>
      <c r="U25" s="39">
        <v>0</v>
      </c>
      <c r="V25" s="39">
        <v>0</v>
      </c>
      <c r="W25" s="39">
        <v>0</v>
      </c>
      <c r="X25" s="39">
        <v>0</v>
      </c>
      <c r="Y25" s="39">
        <v>0</v>
      </c>
      <c r="Z25" s="39">
        <v>0</v>
      </c>
      <c r="AA25" s="39">
        <v>0</v>
      </c>
      <c r="AB25" s="39">
        <v>0.2</v>
      </c>
      <c r="AC25" s="39">
        <v>0</v>
      </c>
      <c r="AD25" s="39">
        <v>0</v>
      </c>
      <c r="AE25" s="39">
        <v>0</v>
      </c>
      <c r="AF25" s="39">
        <v>0</v>
      </c>
      <c r="AG25" s="39">
        <v>0</v>
      </c>
      <c r="AH25" s="39">
        <v>57</v>
      </c>
      <c r="AI25" s="39">
        <v>5.7</v>
      </c>
      <c r="AJ25" s="39">
        <v>10</v>
      </c>
      <c r="AK25" s="39">
        <v>5</v>
      </c>
      <c r="AL25" s="39">
        <v>0.5</v>
      </c>
      <c r="AM25" s="39">
        <v>100</v>
      </c>
      <c r="AN25" s="39">
        <v>0.1</v>
      </c>
      <c r="AO25" s="39">
        <v>0.1</v>
      </c>
      <c r="AP25" s="39">
        <v>1</v>
      </c>
      <c r="AQ25" s="39">
        <v>1</v>
      </c>
      <c r="AR25" s="39">
        <v>35</v>
      </c>
      <c r="AS25" s="39">
        <v>3.5</v>
      </c>
      <c r="AT25" s="39">
        <v>16</v>
      </c>
      <c r="AU25" s="39">
        <v>1.6</v>
      </c>
      <c r="AV25" s="39">
        <v>100</v>
      </c>
      <c r="AW25" s="39">
        <v>0.3</v>
      </c>
      <c r="AX25" s="39">
        <v>0.3</v>
      </c>
      <c r="AY25" s="39">
        <v>3</v>
      </c>
      <c r="AZ25" s="39">
        <v>3</v>
      </c>
      <c r="BA25" s="39">
        <v>100</v>
      </c>
      <c r="BB25" s="39">
        <v>0.3</v>
      </c>
      <c r="BC25" s="39">
        <v>0.3</v>
      </c>
      <c r="BD25" s="39">
        <v>3</v>
      </c>
      <c r="BE25" s="39">
        <v>3</v>
      </c>
      <c r="BF25" s="39">
        <v>100</v>
      </c>
      <c r="BG25" s="39">
        <v>0.6</v>
      </c>
      <c r="BH25" s="39">
        <v>0.6</v>
      </c>
      <c r="BI25" s="39">
        <v>6</v>
      </c>
      <c r="BJ25" s="39">
        <v>6</v>
      </c>
      <c r="BK25" s="39">
        <v>80</v>
      </c>
      <c r="BL25" s="39">
        <v>0.8</v>
      </c>
      <c r="BM25" s="39">
        <v>1</v>
      </c>
      <c r="BN25" s="39">
        <v>8</v>
      </c>
      <c r="BO25" s="39">
        <v>10</v>
      </c>
      <c r="BP25" s="39">
        <v>100</v>
      </c>
      <c r="BQ25" s="39">
        <v>3.4</v>
      </c>
      <c r="BR25" s="39">
        <v>3.4</v>
      </c>
      <c r="BS25" s="39">
        <v>34</v>
      </c>
      <c r="BT25" s="39">
        <v>34</v>
      </c>
      <c r="BU25" s="39">
        <v>54</v>
      </c>
      <c r="BV25" s="39">
        <v>5.4</v>
      </c>
      <c r="BW25" s="39">
        <v>10</v>
      </c>
      <c r="BX25" s="39">
        <v>5</v>
      </c>
      <c r="BY25" s="39">
        <v>0.5</v>
      </c>
      <c r="BZ25" s="39">
        <v>0</v>
      </c>
      <c r="CA25" s="39">
        <v>0</v>
      </c>
      <c r="CB25" s="39">
        <v>0</v>
      </c>
      <c r="CC25" s="39">
        <v>11</v>
      </c>
      <c r="CD25" s="39">
        <v>2</v>
      </c>
      <c r="CE25" s="39">
        <v>0</v>
      </c>
      <c r="CF25" s="39">
        <v>0</v>
      </c>
      <c r="CG25" s="39">
        <v>0</v>
      </c>
      <c r="CH25" s="39">
        <v>0</v>
      </c>
      <c r="CI25" s="39">
        <v>0</v>
      </c>
      <c r="CJ25" s="39">
        <v>0</v>
      </c>
      <c r="CK25" s="39">
        <v>0</v>
      </c>
      <c r="CL25" s="39">
        <v>0</v>
      </c>
      <c r="CM25" s="39">
        <v>0</v>
      </c>
      <c r="CN25" s="39">
        <v>0</v>
      </c>
      <c r="CO25" s="39">
        <v>0</v>
      </c>
      <c r="CP25" s="39">
        <v>5</v>
      </c>
      <c r="CQ25" s="39">
        <v>12</v>
      </c>
      <c r="CR25" s="39">
        <v>6</v>
      </c>
      <c r="CS25" s="39">
        <v>0</v>
      </c>
      <c r="CT25" s="39">
        <v>4.7370000000000001</v>
      </c>
      <c r="CU25" s="39">
        <v>8.6419999999999995</v>
      </c>
      <c r="CV25" s="39">
        <v>12</v>
      </c>
      <c r="CW25" s="39">
        <v>9</v>
      </c>
      <c r="CX25" s="39">
        <v>6.4</v>
      </c>
      <c r="CY25" s="39">
        <v>0</v>
      </c>
      <c r="CZ25" s="39">
        <v>0</v>
      </c>
      <c r="DA25" s="39">
        <v>7</v>
      </c>
      <c r="DB25" s="39">
        <v>0</v>
      </c>
      <c r="DC25" s="39">
        <v>13</v>
      </c>
      <c r="DD25" s="39">
        <v>5</v>
      </c>
      <c r="DE25" s="39">
        <v>8</v>
      </c>
      <c r="DF25" s="39">
        <v>0</v>
      </c>
      <c r="DG25" s="39">
        <v>1</v>
      </c>
      <c r="DH25" s="39">
        <v>1</v>
      </c>
      <c r="DI25" s="39">
        <v>0</v>
      </c>
      <c r="DJ25" s="39">
        <v>26</v>
      </c>
      <c r="DK25" s="39">
        <v>11</v>
      </c>
      <c r="DL25" s="39">
        <v>1</v>
      </c>
      <c r="DM25" s="39">
        <v>3</v>
      </c>
      <c r="DN25" s="39">
        <v>5</v>
      </c>
      <c r="DO25" s="39">
        <v>0</v>
      </c>
      <c r="DP25" s="39">
        <v>0</v>
      </c>
      <c r="DQ25" s="39">
        <v>1</v>
      </c>
      <c r="DR25" s="39">
        <v>0</v>
      </c>
      <c r="DS25" s="39">
        <v>2</v>
      </c>
      <c r="DT25" s="39">
        <v>1</v>
      </c>
      <c r="DU25" s="39">
        <v>1</v>
      </c>
      <c r="DV25" s="39">
        <v>0</v>
      </c>
      <c r="DW25" s="39">
        <v>1</v>
      </c>
      <c r="DX25" s="39">
        <v>1</v>
      </c>
      <c r="DY25" s="39">
        <v>0</v>
      </c>
      <c r="DZ25" s="39">
        <v>10</v>
      </c>
      <c r="EA25" s="39">
        <v>5</v>
      </c>
      <c r="EB25" s="39">
        <v>1</v>
      </c>
      <c r="EC25" s="39">
        <v>1</v>
      </c>
      <c r="ED25" s="39">
        <v>5</v>
      </c>
      <c r="EE25" s="39">
        <v>0</v>
      </c>
      <c r="EF25" s="39">
        <v>0</v>
      </c>
      <c r="EG25" s="39">
        <v>1</v>
      </c>
      <c r="EH25" s="39">
        <v>0</v>
      </c>
      <c r="EI25" s="39">
        <v>2</v>
      </c>
      <c r="EJ25" s="39">
        <v>1</v>
      </c>
      <c r="EK25" s="39">
        <v>1</v>
      </c>
      <c r="EL25" s="39">
        <v>0</v>
      </c>
      <c r="EM25" s="39">
        <v>3.1</v>
      </c>
      <c r="EN25" s="39">
        <v>2.6669999999999998</v>
      </c>
      <c r="EO25" s="39">
        <v>11.1</v>
      </c>
      <c r="EP25" s="39"/>
    </row>
    <row r="26" spans="1:146" x14ac:dyDescent="0.25">
      <c r="A26" s="39">
        <v>3158</v>
      </c>
      <c r="B26" s="39" t="s">
        <v>236</v>
      </c>
      <c r="C26" s="39">
        <v>9</v>
      </c>
      <c r="D26" s="39">
        <v>3</v>
      </c>
      <c r="E26" s="39">
        <v>3</v>
      </c>
      <c r="F26" s="39">
        <v>3</v>
      </c>
      <c r="G26" s="39">
        <v>7</v>
      </c>
      <c r="H26" s="39">
        <v>0</v>
      </c>
      <c r="I26" s="39">
        <v>0</v>
      </c>
      <c r="J26" s="39">
        <v>0</v>
      </c>
      <c r="K26" s="39">
        <v>0</v>
      </c>
      <c r="L26" s="39">
        <v>100.08</v>
      </c>
      <c r="M26" s="39">
        <v>0.55600000000000005</v>
      </c>
      <c r="N26" s="39">
        <v>0.55600000000000005</v>
      </c>
      <c r="O26" s="39">
        <v>5</v>
      </c>
      <c r="P26" s="39">
        <v>5</v>
      </c>
      <c r="Q26" s="39">
        <v>0</v>
      </c>
      <c r="R26" s="39">
        <v>0</v>
      </c>
      <c r="S26" s="39">
        <v>0</v>
      </c>
      <c r="T26" s="39">
        <v>0</v>
      </c>
      <c r="U26" s="39">
        <v>0</v>
      </c>
      <c r="V26" s="39">
        <v>0</v>
      </c>
      <c r="W26" s="39">
        <v>0</v>
      </c>
      <c r="X26" s="39">
        <v>0</v>
      </c>
      <c r="Y26" s="39">
        <v>0</v>
      </c>
      <c r="Z26" s="39">
        <v>0</v>
      </c>
      <c r="AA26" s="39">
        <v>0</v>
      </c>
      <c r="AB26" s="39">
        <v>0</v>
      </c>
      <c r="AC26" s="39">
        <v>0</v>
      </c>
      <c r="AD26" s="39">
        <v>0</v>
      </c>
      <c r="AE26" s="39">
        <v>0</v>
      </c>
      <c r="AF26" s="39">
        <v>0</v>
      </c>
      <c r="AG26" s="39">
        <v>0</v>
      </c>
      <c r="AH26" s="39">
        <v>46</v>
      </c>
      <c r="AI26" s="39">
        <v>5.1109999999999998</v>
      </c>
      <c r="AJ26" s="39">
        <v>10</v>
      </c>
      <c r="AK26" s="39">
        <v>6</v>
      </c>
      <c r="AL26" s="39">
        <v>0.66700000000000004</v>
      </c>
      <c r="AM26" s="39">
        <v>0</v>
      </c>
      <c r="AN26" s="39">
        <v>0</v>
      </c>
      <c r="AO26" s="39">
        <v>0</v>
      </c>
      <c r="AP26" s="39">
        <v>0</v>
      </c>
      <c r="AQ26" s="39">
        <v>0</v>
      </c>
      <c r="AR26" s="39">
        <v>29</v>
      </c>
      <c r="AS26" s="39">
        <v>3.222</v>
      </c>
      <c r="AT26" s="39">
        <v>11</v>
      </c>
      <c r="AU26" s="39">
        <v>1.222</v>
      </c>
      <c r="AV26" s="39">
        <v>90.909000000000006</v>
      </c>
      <c r="AW26" s="39">
        <v>1.111</v>
      </c>
      <c r="AX26" s="39">
        <v>1.222</v>
      </c>
      <c r="AY26" s="39">
        <v>10</v>
      </c>
      <c r="AZ26" s="39">
        <v>11</v>
      </c>
      <c r="BA26" s="39">
        <v>100</v>
      </c>
      <c r="BB26" s="39">
        <v>1</v>
      </c>
      <c r="BC26" s="39">
        <v>1</v>
      </c>
      <c r="BD26" s="39">
        <v>9</v>
      </c>
      <c r="BE26" s="39">
        <v>9</v>
      </c>
      <c r="BF26" s="39">
        <v>0</v>
      </c>
      <c r="BG26" s="39">
        <v>0</v>
      </c>
      <c r="BH26" s="39">
        <v>0</v>
      </c>
      <c r="BI26" s="39">
        <v>0</v>
      </c>
      <c r="BJ26" s="39">
        <v>0</v>
      </c>
      <c r="BK26" s="39">
        <v>0</v>
      </c>
      <c r="BL26" s="39">
        <v>0</v>
      </c>
      <c r="BM26" s="39">
        <v>0</v>
      </c>
      <c r="BN26" s="39">
        <v>0</v>
      </c>
      <c r="BO26" s="39">
        <v>0</v>
      </c>
      <c r="BP26" s="39">
        <v>91.667000000000002</v>
      </c>
      <c r="BQ26" s="39">
        <v>2.444</v>
      </c>
      <c r="BR26" s="39">
        <v>2.6669999999999998</v>
      </c>
      <c r="BS26" s="39">
        <v>22</v>
      </c>
      <c r="BT26" s="39">
        <v>24</v>
      </c>
      <c r="BU26" s="39">
        <v>41</v>
      </c>
      <c r="BV26" s="39">
        <v>4.556</v>
      </c>
      <c r="BW26" s="39">
        <v>10</v>
      </c>
      <c r="BX26" s="39">
        <v>3</v>
      </c>
      <c r="BY26" s="39">
        <v>0.33300000000000002</v>
      </c>
      <c r="BZ26" s="39">
        <v>0</v>
      </c>
      <c r="CA26" s="39">
        <v>0</v>
      </c>
      <c r="CB26" s="39">
        <v>0</v>
      </c>
      <c r="CC26" s="39">
        <v>0</v>
      </c>
      <c r="CD26" s="39">
        <v>0</v>
      </c>
      <c r="CE26" s="39">
        <v>0</v>
      </c>
      <c r="CF26" s="39">
        <v>0</v>
      </c>
      <c r="CG26" s="39">
        <v>0</v>
      </c>
      <c r="CH26" s="39">
        <v>0</v>
      </c>
      <c r="CI26" s="39">
        <v>0</v>
      </c>
      <c r="CJ26" s="39">
        <v>0</v>
      </c>
      <c r="CK26" s="39">
        <v>0</v>
      </c>
      <c r="CL26" s="39">
        <v>0</v>
      </c>
      <c r="CM26" s="39">
        <v>0</v>
      </c>
      <c r="CN26" s="39">
        <v>0</v>
      </c>
      <c r="CO26" s="39">
        <v>0</v>
      </c>
      <c r="CP26" s="39">
        <v>1</v>
      </c>
      <c r="CQ26" s="39">
        <v>0</v>
      </c>
      <c r="CR26" s="39">
        <v>3.556</v>
      </c>
      <c r="CS26" s="39">
        <v>0</v>
      </c>
      <c r="CT26" s="39">
        <v>6.8609999999999998</v>
      </c>
      <c r="CU26" s="39">
        <v>0</v>
      </c>
      <c r="CV26" s="39">
        <v>3.5</v>
      </c>
      <c r="CW26" s="39">
        <v>8.7780000000000005</v>
      </c>
      <c r="CX26" s="39">
        <v>6.5</v>
      </c>
      <c r="CY26" s="39">
        <v>0</v>
      </c>
      <c r="CZ26" s="39">
        <v>0</v>
      </c>
      <c r="DA26" s="39">
        <v>0</v>
      </c>
      <c r="DB26" s="39">
        <v>0</v>
      </c>
      <c r="DC26" s="39">
        <v>0</v>
      </c>
      <c r="DD26" s="39">
        <v>6</v>
      </c>
      <c r="DE26" s="39">
        <v>7.5</v>
      </c>
      <c r="DF26" s="39">
        <v>9.5</v>
      </c>
      <c r="DG26" s="39">
        <v>0</v>
      </c>
      <c r="DH26" s="39">
        <v>5</v>
      </c>
      <c r="DI26" s="39">
        <v>0</v>
      </c>
      <c r="DJ26" s="39">
        <v>17</v>
      </c>
      <c r="DK26" s="39">
        <v>0</v>
      </c>
      <c r="DL26" s="39">
        <v>4</v>
      </c>
      <c r="DM26" s="39">
        <v>6</v>
      </c>
      <c r="DN26" s="39">
        <v>2</v>
      </c>
      <c r="DO26" s="39">
        <v>0</v>
      </c>
      <c r="DP26" s="39">
        <v>0</v>
      </c>
      <c r="DQ26" s="39">
        <v>0</v>
      </c>
      <c r="DR26" s="39">
        <v>0</v>
      </c>
      <c r="DS26" s="39">
        <v>0</v>
      </c>
      <c r="DT26" s="39">
        <v>1</v>
      </c>
      <c r="DU26" s="39">
        <v>3</v>
      </c>
      <c r="DV26" s="39">
        <v>2</v>
      </c>
      <c r="DW26" s="39">
        <v>0</v>
      </c>
      <c r="DX26" s="39">
        <v>3</v>
      </c>
      <c r="DY26" s="39">
        <v>0</v>
      </c>
      <c r="DZ26" s="39">
        <v>6</v>
      </c>
      <c r="EA26" s="39">
        <v>0</v>
      </c>
      <c r="EB26" s="39">
        <v>2</v>
      </c>
      <c r="EC26" s="39">
        <v>3</v>
      </c>
      <c r="ED26" s="39">
        <v>1</v>
      </c>
      <c r="EE26" s="39">
        <v>0</v>
      </c>
      <c r="EF26" s="39">
        <v>0</v>
      </c>
      <c r="EG26" s="39">
        <v>0</v>
      </c>
      <c r="EH26" s="39">
        <v>0</v>
      </c>
      <c r="EI26" s="39">
        <v>0</v>
      </c>
      <c r="EJ26" s="39">
        <v>1</v>
      </c>
      <c r="EK26" s="39">
        <v>2</v>
      </c>
      <c r="EL26" s="39">
        <v>1</v>
      </c>
      <c r="EM26" s="39">
        <v>2.222</v>
      </c>
      <c r="EN26" s="39">
        <v>0</v>
      </c>
      <c r="EO26" s="39">
        <v>9.6669999999999998</v>
      </c>
      <c r="EP26" s="39"/>
    </row>
    <row r="27" spans="1:146" x14ac:dyDescent="0.25">
      <c r="A27" s="39">
        <v>3164</v>
      </c>
      <c r="B27" s="39" t="s">
        <v>237</v>
      </c>
      <c r="C27" s="39">
        <v>10</v>
      </c>
      <c r="D27" s="39">
        <v>3</v>
      </c>
      <c r="E27" s="39">
        <v>2</v>
      </c>
      <c r="F27" s="39">
        <v>5</v>
      </c>
      <c r="G27" s="39">
        <v>10</v>
      </c>
      <c r="H27" s="39">
        <v>0</v>
      </c>
      <c r="I27" s="39">
        <v>0</v>
      </c>
      <c r="J27" s="39">
        <v>0</v>
      </c>
      <c r="K27" s="39">
        <v>0</v>
      </c>
      <c r="L27" s="39">
        <v>75</v>
      </c>
      <c r="M27" s="39">
        <v>0.3</v>
      </c>
      <c r="N27" s="39">
        <v>0.4</v>
      </c>
      <c r="O27" s="39">
        <v>3</v>
      </c>
      <c r="P27" s="39">
        <v>4</v>
      </c>
      <c r="Q27" s="39">
        <v>0</v>
      </c>
      <c r="R27" s="39">
        <v>0</v>
      </c>
      <c r="S27" s="39">
        <v>0</v>
      </c>
      <c r="T27" s="39">
        <v>0</v>
      </c>
      <c r="U27" s="39">
        <v>0</v>
      </c>
      <c r="V27" s="39">
        <v>0</v>
      </c>
      <c r="W27" s="39">
        <v>0</v>
      </c>
      <c r="X27" s="39">
        <v>0</v>
      </c>
      <c r="Y27" s="39">
        <v>0</v>
      </c>
      <c r="Z27" s="39">
        <v>0</v>
      </c>
      <c r="AA27" s="39">
        <v>0</v>
      </c>
      <c r="AB27" s="39">
        <v>0</v>
      </c>
      <c r="AC27" s="39">
        <v>0</v>
      </c>
      <c r="AD27" s="39">
        <v>0</v>
      </c>
      <c r="AE27" s="39">
        <v>0</v>
      </c>
      <c r="AF27" s="39">
        <v>0</v>
      </c>
      <c r="AG27" s="39">
        <v>0</v>
      </c>
      <c r="AH27" s="39">
        <v>76</v>
      </c>
      <c r="AI27" s="39">
        <v>7.6</v>
      </c>
      <c r="AJ27" s="39">
        <v>11</v>
      </c>
      <c r="AK27" s="39">
        <v>21</v>
      </c>
      <c r="AL27" s="39">
        <v>2.1</v>
      </c>
      <c r="AM27" s="39">
        <v>90.909000000000006</v>
      </c>
      <c r="AN27" s="39">
        <v>1</v>
      </c>
      <c r="AO27" s="39">
        <v>1.1000000000000001</v>
      </c>
      <c r="AP27" s="39">
        <v>10</v>
      </c>
      <c r="AQ27" s="39">
        <v>11</v>
      </c>
      <c r="AR27" s="39">
        <v>7</v>
      </c>
      <c r="AS27" s="39">
        <v>0.7</v>
      </c>
      <c r="AT27" s="39">
        <v>38</v>
      </c>
      <c r="AU27" s="39">
        <v>3.8</v>
      </c>
      <c r="AV27" s="39">
        <v>78.570999999999998</v>
      </c>
      <c r="AW27" s="39">
        <v>1.1000000000000001</v>
      </c>
      <c r="AX27" s="39">
        <v>1.4</v>
      </c>
      <c r="AY27" s="39">
        <v>11</v>
      </c>
      <c r="AZ27" s="39">
        <v>14</v>
      </c>
      <c r="BA27" s="39">
        <v>85</v>
      </c>
      <c r="BB27" s="39">
        <v>5.0999999999999996</v>
      </c>
      <c r="BC27" s="39">
        <v>6</v>
      </c>
      <c r="BD27" s="39">
        <v>51</v>
      </c>
      <c r="BE27" s="39">
        <v>60</v>
      </c>
      <c r="BF27" s="39">
        <v>0</v>
      </c>
      <c r="BG27" s="39">
        <v>0</v>
      </c>
      <c r="BH27" s="39">
        <v>0</v>
      </c>
      <c r="BI27" s="39">
        <v>0</v>
      </c>
      <c r="BJ27" s="39">
        <v>0</v>
      </c>
      <c r="BK27" s="39">
        <v>100</v>
      </c>
      <c r="BL27" s="39">
        <v>0.1</v>
      </c>
      <c r="BM27" s="39">
        <v>0.1</v>
      </c>
      <c r="BN27" s="39">
        <v>1</v>
      </c>
      <c r="BO27" s="39">
        <v>1</v>
      </c>
      <c r="BP27" s="39">
        <v>50</v>
      </c>
      <c r="BQ27" s="39">
        <v>0.1</v>
      </c>
      <c r="BR27" s="39">
        <v>0.2</v>
      </c>
      <c r="BS27" s="39">
        <v>1</v>
      </c>
      <c r="BT27" s="39">
        <v>2</v>
      </c>
      <c r="BU27" s="39">
        <v>64</v>
      </c>
      <c r="BV27" s="39">
        <v>6.4</v>
      </c>
      <c r="BW27" s="39">
        <v>11</v>
      </c>
      <c r="BX27" s="39">
        <v>9</v>
      </c>
      <c r="BY27" s="39">
        <v>0.9</v>
      </c>
      <c r="BZ27" s="39">
        <v>0</v>
      </c>
      <c r="CA27" s="39">
        <v>0</v>
      </c>
      <c r="CB27" s="39">
        <v>0</v>
      </c>
      <c r="CC27" s="39">
        <v>1</v>
      </c>
      <c r="CD27" s="39">
        <v>1</v>
      </c>
      <c r="CE27" s="39">
        <v>0</v>
      </c>
      <c r="CF27" s="39">
        <v>50</v>
      </c>
      <c r="CG27" s="39">
        <v>2</v>
      </c>
      <c r="CH27" s="39">
        <v>4</v>
      </c>
      <c r="CI27" s="39">
        <v>0</v>
      </c>
      <c r="CJ27" s="39">
        <v>0</v>
      </c>
      <c r="CK27" s="39">
        <v>0</v>
      </c>
      <c r="CL27" s="39">
        <v>0</v>
      </c>
      <c r="CM27" s="39">
        <v>0</v>
      </c>
      <c r="CN27" s="39">
        <v>0</v>
      </c>
      <c r="CO27" s="39">
        <v>0</v>
      </c>
      <c r="CP27" s="39">
        <v>1</v>
      </c>
      <c r="CQ27" s="39">
        <v>0</v>
      </c>
      <c r="CR27" s="39">
        <v>2.5</v>
      </c>
      <c r="CS27" s="39">
        <v>7</v>
      </c>
      <c r="CT27" s="39">
        <v>6</v>
      </c>
      <c r="CU27" s="39">
        <v>3</v>
      </c>
      <c r="CV27" s="39">
        <v>0</v>
      </c>
      <c r="CW27" s="39">
        <v>4.3849999999999998</v>
      </c>
      <c r="CX27" s="39">
        <v>0</v>
      </c>
      <c r="CY27" s="39">
        <v>0</v>
      </c>
      <c r="CZ27" s="39">
        <v>0</v>
      </c>
      <c r="DA27" s="39">
        <v>5.7670000000000003</v>
      </c>
      <c r="DB27" s="39">
        <v>0</v>
      </c>
      <c r="DC27" s="39">
        <v>0</v>
      </c>
      <c r="DD27" s="39">
        <v>4.7779999999999996</v>
      </c>
      <c r="DE27" s="39">
        <v>5.45</v>
      </c>
      <c r="DF27" s="39">
        <v>0</v>
      </c>
      <c r="DG27" s="39">
        <v>0</v>
      </c>
      <c r="DH27" s="39">
        <v>4</v>
      </c>
      <c r="DI27" s="39">
        <v>1</v>
      </c>
      <c r="DJ27" s="39">
        <v>1</v>
      </c>
      <c r="DK27" s="39">
        <v>1</v>
      </c>
      <c r="DL27" s="39">
        <v>0</v>
      </c>
      <c r="DM27" s="39">
        <v>36</v>
      </c>
      <c r="DN27" s="39">
        <v>0</v>
      </c>
      <c r="DO27" s="39">
        <v>0</v>
      </c>
      <c r="DP27" s="39">
        <v>0</v>
      </c>
      <c r="DQ27" s="39">
        <v>11</v>
      </c>
      <c r="DR27" s="39">
        <v>0</v>
      </c>
      <c r="DS27" s="39">
        <v>0</v>
      </c>
      <c r="DT27" s="39">
        <v>5</v>
      </c>
      <c r="DU27" s="39">
        <v>11</v>
      </c>
      <c r="DV27" s="39">
        <v>0</v>
      </c>
      <c r="DW27" s="39">
        <v>0</v>
      </c>
      <c r="DX27" s="39">
        <v>3</v>
      </c>
      <c r="DY27" s="39">
        <v>1</v>
      </c>
      <c r="DZ27" s="39">
        <v>1</v>
      </c>
      <c r="EA27" s="39">
        <v>1</v>
      </c>
      <c r="EB27" s="39">
        <v>0</v>
      </c>
      <c r="EC27" s="39">
        <v>6</v>
      </c>
      <c r="ED27" s="39">
        <v>0</v>
      </c>
      <c r="EE27" s="39">
        <v>0</v>
      </c>
      <c r="EF27" s="39">
        <v>0</v>
      </c>
      <c r="EG27" s="39">
        <v>3</v>
      </c>
      <c r="EH27" s="39">
        <v>0</v>
      </c>
      <c r="EI27" s="39">
        <v>0</v>
      </c>
      <c r="EJ27" s="39">
        <v>3</v>
      </c>
      <c r="EK27" s="39">
        <v>4</v>
      </c>
      <c r="EL27" s="39">
        <v>0</v>
      </c>
      <c r="EM27" s="39">
        <v>3</v>
      </c>
      <c r="EN27" s="39">
        <v>0</v>
      </c>
      <c r="EO27" s="39">
        <v>14</v>
      </c>
      <c r="EP27" s="39"/>
    </row>
    <row r="28" spans="1:146" x14ac:dyDescent="0.25">
      <c r="A28" s="39">
        <v>3309</v>
      </c>
      <c r="B28" s="39" t="s">
        <v>238</v>
      </c>
      <c r="C28" s="39">
        <v>10</v>
      </c>
      <c r="D28" s="39">
        <v>2</v>
      </c>
      <c r="E28" s="39">
        <v>4</v>
      </c>
      <c r="F28" s="39">
        <v>4</v>
      </c>
      <c r="G28" s="39">
        <v>10</v>
      </c>
      <c r="H28" s="39">
        <v>2</v>
      </c>
      <c r="I28" s="39">
        <v>0.2</v>
      </c>
      <c r="J28" s="39">
        <v>1</v>
      </c>
      <c r="K28" s="39">
        <v>0.1</v>
      </c>
      <c r="L28" s="39">
        <v>20</v>
      </c>
      <c r="M28" s="39">
        <v>0.1</v>
      </c>
      <c r="N28" s="39">
        <v>0.5</v>
      </c>
      <c r="O28" s="39">
        <v>1</v>
      </c>
      <c r="P28" s="39">
        <v>5</v>
      </c>
      <c r="Q28" s="39">
        <v>60</v>
      </c>
      <c r="R28" s="39">
        <v>0.3</v>
      </c>
      <c r="S28" s="39">
        <v>0.5</v>
      </c>
      <c r="T28" s="39">
        <v>3</v>
      </c>
      <c r="U28" s="39">
        <v>5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39">
        <v>0.4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80</v>
      </c>
      <c r="AI28" s="39">
        <v>8</v>
      </c>
      <c r="AJ28" s="39">
        <v>10</v>
      </c>
      <c r="AK28" s="39">
        <v>17</v>
      </c>
      <c r="AL28" s="39">
        <v>1.7</v>
      </c>
      <c r="AM28" s="39">
        <v>93.75</v>
      </c>
      <c r="AN28" s="39">
        <v>1.5</v>
      </c>
      <c r="AO28" s="39">
        <v>1.6</v>
      </c>
      <c r="AP28" s="39">
        <v>15</v>
      </c>
      <c r="AQ28" s="39">
        <v>16</v>
      </c>
      <c r="AR28" s="39">
        <v>5</v>
      </c>
      <c r="AS28" s="39">
        <v>0.5</v>
      </c>
      <c r="AT28" s="39">
        <v>43</v>
      </c>
      <c r="AU28" s="39">
        <v>4.3</v>
      </c>
      <c r="AV28" s="39">
        <v>100</v>
      </c>
      <c r="AW28" s="39">
        <v>0.3</v>
      </c>
      <c r="AX28" s="39">
        <v>0.3</v>
      </c>
      <c r="AY28" s="39">
        <v>3</v>
      </c>
      <c r="AZ28" s="39">
        <v>3</v>
      </c>
      <c r="BA28" s="39">
        <v>95.652000000000001</v>
      </c>
      <c r="BB28" s="39">
        <v>2.2000000000000002</v>
      </c>
      <c r="BC28" s="39">
        <v>2.2999999999999998</v>
      </c>
      <c r="BD28" s="39">
        <v>22</v>
      </c>
      <c r="BE28" s="39">
        <v>23</v>
      </c>
      <c r="BF28" s="39">
        <v>0</v>
      </c>
      <c r="BG28" s="39">
        <v>0</v>
      </c>
      <c r="BH28" s="39">
        <v>0</v>
      </c>
      <c r="BI28" s="39">
        <v>0</v>
      </c>
      <c r="BJ28" s="39">
        <v>0</v>
      </c>
      <c r="BK28" s="39">
        <v>91.489000000000004</v>
      </c>
      <c r="BL28" s="39">
        <v>4.3</v>
      </c>
      <c r="BM28" s="39">
        <v>4.7</v>
      </c>
      <c r="BN28" s="39">
        <v>43</v>
      </c>
      <c r="BO28" s="39">
        <v>47</v>
      </c>
      <c r="BP28" s="39">
        <v>100</v>
      </c>
      <c r="BQ28" s="39">
        <v>0.1</v>
      </c>
      <c r="BR28" s="39">
        <v>0.1</v>
      </c>
      <c r="BS28" s="39">
        <v>1</v>
      </c>
      <c r="BT28" s="39">
        <v>1</v>
      </c>
      <c r="BU28" s="39">
        <v>69</v>
      </c>
      <c r="BV28" s="39">
        <v>6.9</v>
      </c>
      <c r="BW28" s="39">
        <v>10</v>
      </c>
      <c r="BX28" s="39">
        <v>9</v>
      </c>
      <c r="BY28" s="39">
        <v>0.9</v>
      </c>
      <c r="BZ28" s="39">
        <v>0</v>
      </c>
      <c r="CA28" s="39">
        <v>0</v>
      </c>
      <c r="CB28" s="39">
        <v>0</v>
      </c>
      <c r="CC28" s="39">
        <v>2</v>
      </c>
      <c r="CD28" s="39">
        <v>6</v>
      </c>
      <c r="CE28" s="39">
        <v>0</v>
      </c>
      <c r="CF28" s="39">
        <v>88.888999999999996</v>
      </c>
      <c r="CG28" s="39">
        <v>8</v>
      </c>
      <c r="CH28" s="39">
        <v>9</v>
      </c>
      <c r="CI28" s="39">
        <v>100</v>
      </c>
      <c r="CJ28" s="39">
        <v>5</v>
      </c>
      <c r="CK28" s="39">
        <v>5</v>
      </c>
      <c r="CL28" s="39">
        <v>0</v>
      </c>
      <c r="CM28" s="39">
        <v>0</v>
      </c>
      <c r="CN28" s="39">
        <v>0</v>
      </c>
      <c r="CO28" s="39">
        <v>0</v>
      </c>
      <c r="CP28" s="39">
        <v>0</v>
      </c>
      <c r="CQ28" s="39">
        <v>6.3330000000000002</v>
      </c>
      <c r="CR28" s="39">
        <v>3</v>
      </c>
      <c r="CS28" s="39">
        <v>0</v>
      </c>
      <c r="CT28" s="39">
        <v>0</v>
      </c>
      <c r="CU28" s="39">
        <v>4.782</v>
      </c>
      <c r="CV28" s="39">
        <v>1.8</v>
      </c>
      <c r="CW28" s="39">
        <v>5.556</v>
      </c>
      <c r="CX28" s="39">
        <v>0</v>
      </c>
      <c r="CY28" s="39">
        <v>12</v>
      </c>
      <c r="CZ28" s="39">
        <v>0</v>
      </c>
      <c r="DA28" s="39">
        <v>4.133</v>
      </c>
      <c r="DB28" s="39">
        <v>0</v>
      </c>
      <c r="DC28" s="39">
        <v>4.9169999999999998</v>
      </c>
      <c r="DD28" s="39">
        <v>2</v>
      </c>
      <c r="DE28" s="39">
        <v>4.1109999999999998</v>
      </c>
      <c r="DF28" s="39">
        <v>10</v>
      </c>
      <c r="DG28" s="39">
        <v>3</v>
      </c>
      <c r="DH28" s="39">
        <v>1</v>
      </c>
      <c r="DI28" s="39">
        <v>0</v>
      </c>
      <c r="DJ28" s="39">
        <v>0</v>
      </c>
      <c r="DK28" s="39">
        <v>29</v>
      </c>
      <c r="DL28" s="39">
        <v>5</v>
      </c>
      <c r="DM28" s="39">
        <v>5</v>
      </c>
      <c r="DN28" s="39">
        <v>0</v>
      </c>
      <c r="DO28" s="39">
        <v>1</v>
      </c>
      <c r="DP28" s="39">
        <v>0</v>
      </c>
      <c r="DQ28" s="39">
        <v>11</v>
      </c>
      <c r="DR28" s="39">
        <v>0</v>
      </c>
      <c r="DS28" s="39">
        <v>9</v>
      </c>
      <c r="DT28" s="39">
        <v>1</v>
      </c>
      <c r="DU28" s="39">
        <v>6</v>
      </c>
      <c r="DV28" s="39">
        <v>1</v>
      </c>
      <c r="DW28" s="39">
        <v>1</v>
      </c>
      <c r="DX28" s="39">
        <v>1</v>
      </c>
      <c r="DY28" s="39">
        <v>0</v>
      </c>
      <c r="DZ28" s="39">
        <v>0</v>
      </c>
      <c r="EA28" s="39">
        <v>8</v>
      </c>
      <c r="EB28" s="39">
        <v>5</v>
      </c>
      <c r="EC28" s="39">
        <v>3</v>
      </c>
      <c r="ED28" s="39">
        <v>0</v>
      </c>
      <c r="EE28" s="39">
        <v>1</v>
      </c>
      <c r="EF28" s="39">
        <v>0</v>
      </c>
      <c r="EG28" s="39">
        <v>5</v>
      </c>
      <c r="EH28" s="39">
        <v>0</v>
      </c>
      <c r="EI28" s="39">
        <v>4</v>
      </c>
      <c r="EJ28" s="39">
        <v>1</v>
      </c>
      <c r="EK28" s="39">
        <v>3</v>
      </c>
      <c r="EL28" s="39">
        <v>1</v>
      </c>
      <c r="EM28" s="39">
        <v>3.8</v>
      </c>
      <c r="EN28" s="39">
        <v>0</v>
      </c>
      <c r="EO28" s="39">
        <v>14.9</v>
      </c>
      <c r="EP28" s="39"/>
    </row>
    <row r="29" spans="1:146" x14ac:dyDescent="0.25">
      <c r="A29" s="39">
        <v>3310</v>
      </c>
      <c r="B29" s="39" t="s">
        <v>239</v>
      </c>
      <c r="C29" s="39">
        <v>10</v>
      </c>
      <c r="D29" s="39">
        <v>2</v>
      </c>
      <c r="E29" s="39">
        <v>2</v>
      </c>
      <c r="F29" s="39">
        <v>6</v>
      </c>
      <c r="G29" s="39">
        <v>10</v>
      </c>
      <c r="H29" s="39">
        <v>1</v>
      </c>
      <c r="I29" s="39">
        <v>0.1</v>
      </c>
      <c r="J29" s="39">
        <v>7</v>
      </c>
      <c r="K29" s="39">
        <v>0.7</v>
      </c>
      <c r="L29" s="39">
        <v>100</v>
      </c>
      <c r="M29" s="39">
        <v>0.7</v>
      </c>
      <c r="N29" s="39">
        <v>0.7</v>
      </c>
      <c r="O29" s="39">
        <v>7</v>
      </c>
      <c r="P29" s="39">
        <v>7</v>
      </c>
      <c r="Q29" s="39">
        <v>50</v>
      </c>
      <c r="R29" s="39">
        <v>0.4</v>
      </c>
      <c r="S29" s="39">
        <v>0.8</v>
      </c>
      <c r="T29" s="39">
        <v>4</v>
      </c>
      <c r="U29" s="39">
        <v>8</v>
      </c>
      <c r="V29" s="39">
        <v>0.2</v>
      </c>
      <c r="W29" s="39">
        <v>0</v>
      </c>
      <c r="X29" s="39">
        <v>0</v>
      </c>
      <c r="Y29" s="39">
        <v>0</v>
      </c>
      <c r="Z29" s="39">
        <v>0</v>
      </c>
      <c r="AA29" s="39">
        <v>0</v>
      </c>
      <c r="AB29" s="39">
        <v>0.3</v>
      </c>
      <c r="AC29" s="39">
        <v>0</v>
      </c>
      <c r="AD29" s="39">
        <v>0</v>
      </c>
      <c r="AE29" s="39">
        <v>0</v>
      </c>
      <c r="AF29" s="39">
        <v>0</v>
      </c>
      <c r="AG29" s="39">
        <v>0</v>
      </c>
      <c r="AH29" s="39">
        <v>76</v>
      </c>
      <c r="AI29" s="39">
        <v>7.6</v>
      </c>
      <c r="AJ29" s="39">
        <v>10</v>
      </c>
      <c r="AK29" s="39">
        <v>22</v>
      </c>
      <c r="AL29" s="39">
        <v>2.2000000000000002</v>
      </c>
      <c r="AM29" s="39">
        <v>94.117999999999995</v>
      </c>
      <c r="AN29" s="39">
        <v>1.6</v>
      </c>
      <c r="AO29" s="39">
        <v>1.7</v>
      </c>
      <c r="AP29" s="39">
        <v>16</v>
      </c>
      <c r="AQ29" s="39">
        <v>17</v>
      </c>
      <c r="AR29" s="39">
        <v>2</v>
      </c>
      <c r="AS29" s="39">
        <v>0.2</v>
      </c>
      <c r="AT29" s="39">
        <v>36</v>
      </c>
      <c r="AU29" s="39">
        <v>3.6</v>
      </c>
      <c r="AV29" s="39">
        <v>100</v>
      </c>
      <c r="AW29" s="39">
        <v>0.2</v>
      </c>
      <c r="AX29" s="39">
        <v>0.2</v>
      </c>
      <c r="AY29" s="39">
        <v>2</v>
      </c>
      <c r="AZ29" s="39">
        <v>2</v>
      </c>
      <c r="BA29" s="39">
        <v>96.296000000000006</v>
      </c>
      <c r="BB29" s="39">
        <v>2.6</v>
      </c>
      <c r="BC29" s="39">
        <v>2.7</v>
      </c>
      <c r="BD29" s="39">
        <v>26</v>
      </c>
      <c r="BE29" s="39">
        <v>27</v>
      </c>
      <c r="BF29" s="39">
        <v>66.667000000000002</v>
      </c>
      <c r="BG29" s="39">
        <v>0.4</v>
      </c>
      <c r="BH29" s="39">
        <v>0.6</v>
      </c>
      <c r="BI29" s="39">
        <v>4</v>
      </c>
      <c r="BJ29" s="39">
        <v>6</v>
      </c>
      <c r="BK29" s="39">
        <v>91.429000000000002</v>
      </c>
      <c r="BL29" s="39">
        <v>3.2</v>
      </c>
      <c r="BM29" s="39">
        <v>3.5</v>
      </c>
      <c r="BN29" s="39">
        <v>32</v>
      </c>
      <c r="BO29" s="39">
        <v>35</v>
      </c>
      <c r="BP29" s="39">
        <v>100</v>
      </c>
      <c r="BQ29" s="39">
        <v>0.2</v>
      </c>
      <c r="BR29" s="39">
        <v>0.2</v>
      </c>
      <c r="BS29" s="39">
        <v>2</v>
      </c>
      <c r="BT29" s="39">
        <v>2</v>
      </c>
      <c r="BU29" s="39">
        <v>66</v>
      </c>
      <c r="BV29" s="39">
        <v>6.6</v>
      </c>
      <c r="BW29" s="39">
        <v>8</v>
      </c>
      <c r="BX29" s="39">
        <v>7</v>
      </c>
      <c r="BY29" s="39">
        <v>0.7</v>
      </c>
      <c r="BZ29" s="39">
        <v>0</v>
      </c>
      <c r="CA29" s="39">
        <v>0</v>
      </c>
      <c r="CB29" s="39">
        <v>0</v>
      </c>
      <c r="CC29" s="39">
        <v>22</v>
      </c>
      <c r="CD29" s="39">
        <v>1</v>
      </c>
      <c r="CE29" s="39">
        <v>0</v>
      </c>
      <c r="CF29" s="39">
        <v>87.5</v>
      </c>
      <c r="CG29" s="39">
        <v>7</v>
      </c>
      <c r="CH29" s="39">
        <v>8</v>
      </c>
      <c r="CI29" s="39">
        <v>71.429000000000002</v>
      </c>
      <c r="CJ29" s="39">
        <v>5</v>
      </c>
      <c r="CK29" s="39">
        <v>7</v>
      </c>
      <c r="CL29" s="39">
        <v>0</v>
      </c>
      <c r="CM29" s="39">
        <v>0</v>
      </c>
      <c r="CN29" s="39">
        <v>0</v>
      </c>
      <c r="CO29" s="39">
        <v>0</v>
      </c>
      <c r="CP29" s="39">
        <v>1</v>
      </c>
      <c r="CQ29" s="39">
        <v>0</v>
      </c>
      <c r="CR29" s="39">
        <v>3</v>
      </c>
      <c r="CS29" s="39">
        <v>0</v>
      </c>
      <c r="CT29" s="39">
        <v>4</v>
      </c>
      <c r="CU29" s="39">
        <v>5.5540000000000003</v>
      </c>
      <c r="CV29" s="39">
        <v>0</v>
      </c>
      <c r="CW29" s="39">
        <v>3.5</v>
      </c>
      <c r="CX29" s="39">
        <v>0</v>
      </c>
      <c r="CY29" s="39">
        <v>7.6669999999999998</v>
      </c>
      <c r="CZ29" s="39">
        <v>0</v>
      </c>
      <c r="DA29" s="39">
        <v>4.75</v>
      </c>
      <c r="DB29" s="39">
        <v>0</v>
      </c>
      <c r="DC29" s="39">
        <v>3.2829999999999999</v>
      </c>
      <c r="DD29" s="39">
        <v>0</v>
      </c>
      <c r="DE29" s="39">
        <v>5.5830000000000002</v>
      </c>
      <c r="DF29" s="39">
        <v>0</v>
      </c>
      <c r="DG29" s="39">
        <v>0</v>
      </c>
      <c r="DH29" s="39">
        <v>1</v>
      </c>
      <c r="DI29" s="39">
        <v>0</v>
      </c>
      <c r="DJ29" s="39">
        <v>1</v>
      </c>
      <c r="DK29" s="39">
        <v>22</v>
      </c>
      <c r="DL29" s="39">
        <v>0</v>
      </c>
      <c r="DM29" s="39">
        <v>16</v>
      </c>
      <c r="DN29" s="39">
        <v>0</v>
      </c>
      <c r="DO29" s="39">
        <v>3</v>
      </c>
      <c r="DP29" s="39">
        <v>0</v>
      </c>
      <c r="DQ29" s="39">
        <v>5</v>
      </c>
      <c r="DR29" s="39">
        <v>0</v>
      </c>
      <c r="DS29" s="39">
        <v>11</v>
      </c>
      <c r="DT29" s="39">
        <v>0</v>
      </c>
      <c r="DU29" s="39">
        <v>6</v>
      </c>
      <c r="DV29" s="39">
        <v>0</v>
      </c>
      <c r="DW29" s="39">
        <v>0</v>
      </c>
      <c r="DX29" s="39">
        <v>1</v>
      </c>
      <c r="DY29" s="39">
        <v>0</v>
      </c>
      <c r="DZ29" s="39">
        <v>1</v>
      </c>
      <c r="EA29" s="39">
        <v>5</v>
      </c>
      <c r="EB29" s="39">
        <v>0</v>
      </c>
      <c r="EC29" s="39">
        <v>6</v>
      </c>
      <c r="ED29" s="39">
        <v>0</v>
      </c>
      <c r="EE29" s="39">
        <v>3</v>
      </c>
      <c r="EF29" s="39">
        <v>0</v>
      </c>
      <c r="EG29" s="39">
        <v>2</v>
      </c>
      <c r="EH29" s="39">
        <v>0</v>
      </c>
      <c r="EI29" s="39">
        <v>4</v>
      </c>
      <c r="EJ29" s="39">
        <v>0</v>
      </c>
      <c r="EK29" s="39">
        <v>4</v>
      </c>
      <c r="EL29" s="39">
        <v>0</v>
      </c>
      <c r="EM29" s="39">
        <v>3.9</v>
      </c>
      <c r="EN29" s="39">
        <v>0</v>
      </c>
      <c r="EO29" s="39">
        <v>14.2</v>
      </c>
      <c r="EP29" s="39"/>
    </row>
    <row r="30" spans="1:146" x14ac:dyDescent="0.25">
      <c r="A30" s="39">
        <v>3472</v>
      </c>
      <c r="B30" s="39" t="s">
        <v>240</v>
      </c>
      <c r="C30" s="39">
        <v>10</v>
      </c>
      <c r="D30" s="39">
        <v>4</v>
      </c>
      <c r="E30" s="39">
        <v>1</v>
      </c>
      <c r="F30" s="39">
        <v>5</v>
      </c>
      <c r="G30" s="39">
        <v>7</v>
      </c>
      <c r="H30" s="39">
        <v>0</v>
      </c>
      <c r="I30" s="39">
        <v>0</v>
      </c>
      <c r="J30" s="39">
        <v>0</v>
      </c>
      <c r="K30" s="39">
        <v>0</v>
      </c>
      <c r="L30" s="39">
        <v>100</v>
      </c>
      <c r="M30" s="39">
        <v>0.1</v>
      </c>
      <c r="N30" s="39">
        <v>0.1</v>
      </c>
      <c r="O30" s="39">
        <v>1</v>
      </c>
      <c r="P30" s="39">
        <v>1</v>
      </c>
      <c r="Q30" s="39">
        <v>0</v>
      </c>
      <c r="R30" s="39">
        <v>0</v>
      </c>
      <c r="S30" s="39">
        <v>0</v>
      </c>
      <c r="T30" s="39">
        <v>0</v>
      </c>
      <c r="U30" s="39">
        <v>0</v>
      </c>
      <c r="V30" s="39">
        <v>0</v>
      </c>
      <c r="W30" s="39">
        <v>0</v>
      </c>
      <c r="X30" s="39">
        <v>0</v>
      </c>
      <c r="Y30" s="39">
        <v>0</v>
      </c>
      <c r="Z30" s="39">
        <v>0</v>
      </c>
      <c r="AA30" s="39">
        <v>0</v>
      </c>
      <c r="AB30" s="39">
        <v>0.1</v>
      </c>
      <c r="AC30" s="39">
        <v>0</v>
      </c>
      <c r="AD30" s="39">
        <v>0</v>
      </c>
      <c r="AE30" s="39">
        <v>0</v>
      </c>
      <c r="AF30" s="39">
        <v>0</v>
      </c>
      <c r="AG30" s="39">
        <v>0</v>
      </c>
      <c r="AH30" s="39">
        <v>34</v>
      </c>
      <c r="AI30" s="39">
        <v>3.4</v>
      </c>
      <c r="AJ30" s="39">
        <v>8</v>
      </c>
      <c r="AK30" s="39">
        <v>7</v>
      </c>
      <c r="AL30" s="39">
        <v>0.7</v>
      </c>
      <c r="AM30" s="39">
        <v>100</v>
      </c>
      <c r="AN30" s="39">
        <v>0.2</v>
      </c>
      <c r="AO30" s="39">
        <v>0.2</v>
      </c>
      <c r="AP30" s="39">
        <v>2</v>
      </c>
      <c r="AQ30" s="39">
        <v>2</v>
      </c>
      <c r="AR30" s="39">
        <v>19</v>
      </c>
      <c r="AS30" s="39">
        <v>1.9</v>
      </c>
      <c r="AT30" s="39">
        <v>6</v>
      </c>
      <c r="AU30" s="39">
        <v>0.6</v>
      </c>
      <c r="AV30" s="39">
        <v>100</v>
      </c>
      <c r="AW30" s="39">
        <v>0.5</v>
      </c>
      <c r="AX30" s="39">
        <v>0.5</v>
      </c>
      <c r="AY30" s="39">
        <v>5</v>
      </c>
      <c r="AZ30" s="39">
        <v>5</v>
      </c>
      <c r="BA30" s="39">
        <v>100</v>
      </c>
      <c r="BB30" s="39">
        <v>0.1</v>
      </c>
      <c r="BC30" s="39">
        <v>0.1</v>
      </c>
      <c r="BD30" s="39">
        <v>1</v>
      </c>
      <c r="BE30" s="39">
        <v>1</v>
      </c>
      <c r="BF30" s="39">
        <v>100</v>
      </c>
      <c r="BG30" s="39">
        <v>0.3</v>
      </c>
      <c r="BH30" s="39">
        <v>0.3</v>
      </c>
      <c r="BI30" s="39">
        <v>3</v>
      </c>
      <c r="BJ30" s="39">
        <v>3</v>
      </c>
      <c r="BK30" s="39">
        <v>66.667000000000002</v>
      </c>
      <c r="BL30" s="39">
        <v>0.2</v>
      </c>
      <c r="BM30" s="39">
        <v>0.3</v>
      </c>
      <c r="BN30" s="39">
        <v>2</v>
      </c>
      <c r="BO30" s="39">
        <v>3</v>
      </c>
      <c r="BP30" s="39">
        <v>100</v>
      </c>
      <c r="BQ30" s="39">
        <v>3</v>
      </c>
      <c r="BR30" s="39">
        <v>3</v>
      </c>
      <c r="BS30" s="39">
        <v>30</v>
      </c>
      <c r="BT30" s="39">
        <v>30</v>
      </c>
      <c r="BU30" s="39">
        <v>41</v>
      </c>
      <c r="BV30" s="39">
        <v>4.0999999999999996</v>
      </c>
      <c r="BW30" s="39">
        <v>9</v>
      </c>
      <c r="BX30" s="39">
        <v>2</v>
      </c>
      <c r="BY30" s="39">
        <v>0.2</v>
      </c>
      <c r="BZ30" s="39">
        <v>0</v>
      </c>
      <c r="CA30" s="39">
        <v>0</v>
      </c>
      <c r="CB30" s="39">
        <v>0</v>
      </c>
      <c r="CC30" s="39">
        <v>11</v>
      </c>
      <c r="CD30" s="39">
        <v>2</v>
      </c>
      <c r="CE30" s="39">
        <v>0</v>
      </c>
      <c r="CF30" s="39">
        <v>0</v>
      </c>
      <c r="CG30" s="39">
        <v>0</v>
      </c>
      <c r="CH30" s="39">
        <v>3</v>
      </c>
      <c r="CI30" s="39">
        <v>0</v>
      </c>
      <c r="CJ30" s="39">
        <v>0</v>
      </c>
      <c r="CK30" s="39">
        <v>0</v>
      </c>
      <c r="CL30" s="39">
        <v>0</v>
      </c>
      <c r="CM30" s="39">
        <v>0</v>
      </c>
      <c r="CN30" s="39">
        <v>0</v>
      </c>
      <c r="CO30" s="39">
        <v>0</v>
      </c>
      <c r="CP30" s="39">
        <v>7</v>
      </c>
      <c r="CQ30" s="39">
        <v>0</v>
      </c>
      <c r="CR30" s="39">
        <v>6</v>
      </c>
      <c r="CS30" s="39">
        <v>0</v>
      </c>
      <c r="CT30" s="39">
        <v>6.6829999999999998</v>
      </c>
      <c r="CU30" s="39">
        <v>10.75</v>
      </c>
      <c r="CV30" s="39">
        <v>8.3330000000000002</v>
      </c>
      <c r="CW30" s="39">
        <v>13</v>
      </c>
      <c r="CX30" s="39">
        <v>8</v>
      </c>
      <c r="CY30" s="39">
        <v>0</v>
      </c>
      <c r="CZ30" s="39">
        <v>10</v>
      </c>
      <c r="DA30" s="39">
        <v>15</v>
      </c>
      <c r="DB30" s="39">
        <v>0</v>
      </c>
      <c r="DC30" s="39">
        <v>16</v>
      </c>
      <c r="DD30" s="39">
        <v>0</v>
      </c>
      <c r="DE30" s="39">
        <v>0</v>
      </c>
      <c r="DF30" s="39">
        <v>29.5</v>
      </c>
      <c r="DG30" s="39">
        <v>0</v>
      </c>
      <c r="DH30" s="39">
        <v>4</v>
      </c>
      <c r="DI30" s="39">
        <v>0</v>
      </c>
      <c r="DJ30" s="39">
        <v>17</v>
      </c>
      <c r="DK30" s="39">
        <v>5</v>
      </c>
      <c r="DL30" s="39">
        <v>3</v>
      </c>
      <c r="DM30" s="39">
        <v>1</v>
      </c>
      <c r="DN30" s="39">
        <v>1</v>
      </c>
      <c r="DO30" s="39">
        <v>0</v>
      </c>
      <c r="DP30" s="39">
        <v>1</v>
      </c>
      <c r="DQ30" s="39">
        <v>1</v>
      </c>
      <c r="DR30" s="39">
        <v>0</v>
      </c>
      <c r="DS30" s="39">
        <v>1</v>
      </c>
      <c r="DT30" s="39">
        <v>0</v>
      </c>
      <c r="DU30" s="39">
        <v>0</v>
      </c>
      <c r="DV30" s="39">
        <v>2</v>
      </c>
      <c r="DW30" s="39">
        <v>0</v>
      </c>
      <c r="DX30" s="39">
        <v>4</v>
      </c>
      <c r="DY30" s="39">
        <v>0</v>
      </c>
      <c r="DZ30" s="39">
        <v>6</v>
      </c>
      <c r="EA30" s="39">
        <v>2</v>
      </c>
      <c r="EB30" s="39">
        <v>1</v>
      </c>
      <c r="EC30" s="39">
        <v>1</v>
      </c>
      <c r="ED30" s="39">
        <v>1</v>
      </c>
      <c r="EE30" s="39">
        <v>0</v>
      </c>
      <c r="EF30" s="39">
        <v>1</v>
      </c>
      <c r="EG30" s="39">
        <v>1</v>
      </c>
      <c r="EH30" s="39">
        <v>0</v>
      </c>
      <c r="EI30" s="39">
        <v>1</v>
      </c>
      <c r="EJ30" s="39">
        <v>0</v>
      </c>
      <c r="EK30" s="39">
        <v>0</v>
      </c>
      <c r="EL30" s="39">
        <v>1</v>
      </c>
      <c r="EM30" s="39">
        <v>2.2000000000000002</v>
      </c>
      <c r="EN30" s="39">
        <v>0</v>
      </c>
      <c r="EO30" s="39">
        <v>7.5</v>
      </c>
      <c r="EP30" s="39"/>
    </row>
    <row r="31" spans="1:146" x14ac:dyDescent="0.25">
      <c r="A31" s="39">
        <v>3473</v>
      </c>
      <c r="B31" s="39" t="s">
        <v>241</v>
      </c>
      <c r="C31" s="39">
        <v>10</v>
      </c>
      <c r="D31" s="39">
        <v>3</v>
      </c>
      <c r="E31" s="39">
        <v>2</v>
      </c>
      <c r="F31" s="39">
        <v>4</v>
      </c>
      <c r="G31" s="39">
        <v>8</v>
      </c>
      <c r="H31" s="39">
        <v>0</v>
      </c>
      <c r="I31" s="39">
        <v>0</v>
      </c>
      <c r="J31" s="39">
        <v>0</v>
      </c>
      <c r="K31" s="39">
        <v>0</v>
      </c>
      <c r="L31" s="39">
        <v>75</v>
      </c>
      <c r="M31" s="39">
        <v>0.3</v>
      </c>
      <c r="N31" s="39">
        <v>0.4</v>
      </c>
      <c r="O31" s="39">
        <v>3</v>
      </c>
      <c r="P31" s="39">
        <v>4</v>
      </c>
      <c r="Q31" s="39">
        <v>75</v>
      </c>
      <c r="R31" s="39">
        <v>0.3</v>
      </c>
      <c r="S31" s="39">
        <v>0.4</v>
      </c>
      <c r="T31" s="39">
        <v>3</v>
      </c>
      <c r="U31" s="39">
        <v>4</v>
      </c>
      <c r="V31" s="39">
        <v>0</v>
      </c>
      <c r="W31" s="39">
        <v>0</v>
      </c>
      <c r="X31" s="39">
        <v>0</v>
      </c>
      <c r="Y31" s="39">
        <v>0</v>
      </c>
      <c r="Z31" s="39">
        <v>0</v>
      </c>
      <c r="AA31" s="39">
        <v>0</v>
      </c>
      <c r="AB31" s="39">
        <v>0</v>
      </c>
      <c r="AC31" s="39">
        <v>0</v>
      </c>
      <c r="AD31" s="39">
        <v>0</v>
      </c>
      <c r="AE31" s="39">
        <v>0</v>
      </c>
      <c r="AF31" s="39">
        <v>0</v>
      </c>
      <c r="AG31" s="39">
        <v>0</v>
      </c>
      <c r="AH31" s="39">
        <v>32</v>
      </c>
      <c r="AI31" s="39">
        <v>3.2</v>
      </c>
      <c r="AJ31" s="39">
        <v>7</v>
      </c>
      <c r="AK31" s="39">
        <v>6</v>
      </c>
      <c r="AL31" s="39">
        <v>0.6</v>
      </c>
      <c r="AM31" s="39">
        <v>100</v>
      </c>
      <c r="AN31" s="39">
        <v>0.2</v>
      </c>
      <c r="AO31" s="39">
        <v>0.2</v>
      </c>
      <c r="AP31" s="39">
        <v>2</v>
      </c>
      <c r="AQ31" s="39">
        <v>2</v>
      </c>
      <c r="AR31" s="39">
        <v>13</v>
      </c>
      <c r="AS31" s="39">
        <v>1.3</v>
      </c>
      <c r="AT31" s="39">
        <v>11</v>
      </c>
      <c r="AU31" s="39">
        <v>1.1000000000000001</v>
      </c>
      <c r="AV31" s="39">
        <v>100</v>
      </c>
      <c r="AW31" s="39">
        <v>0.2</v>
      </c>
      <c r="AX31" s="39">
        <v>0.2</v>
      </c>
      <c r="AY31" s="39">
        <v>2</v>
      </c>
      <c r="AZ31" s="39">
        <v>2</v>
      </c>
      <c r="BA31" s="39">
        <v>100</v>
      </c>
      <c r="BB31" s="39">
        <v>0.2</v>
      </c>
      <c r="BC31" s="39">
        <v>0.2</v>
      </c>
      <c r="BD31" s="39">
        <v>2</v>
      </c>
      <c r="BE31" s="39">
        <v>2</v>
      </c>
      <c r="BF31" s="39">
        <v>100</v>
      </c>
      <c r="BG31" s="39">
        <v>0.6</v>
      </c>
      <c r="BH31" s="39">
        <v>0.6</v>
      </c>
      <c r="BI31" s="39">
        <v>6</v>
      </c>
      <c r="BJ31" s="39">
        <v>6</v>
      </c>
      <c r="BK31" s="39">
        <v>100</v>
      </c>
      <c r="BL31" s="39">
        <v>0.3</v>
      </c>
      <c r="BM31" s="39">
        <v>0.3</v>
      </c>
      <c r="BN31" s="39">
        <v>3</v>
      </c>
      <c r="BO31" s="39">
        <v>3</v>
      </c>
      <c r="BP31" s="39">
        <v>92.308000000000007</v>
      </c>
      <c r="BQ31" s="39">
        <v>1.2</v>
      </c>
      <c r="BR31" s="39">
        <v>1.3</v>
      </c>
      <c r="BS31" s="39">
        <v>12</v>
      </c>
      <c r="BT31" s="39">
        <v>13</v>
      </c>
      <c r="BU31" s="39">
        <v>25</v>
      </c>
      <c r="BV31" s="39">
        <v>2.5</v>
      </c>
      <c r="BW31" s="39">
        <v>5</v>
      </c>
      <c r="BX31" s="39">
        <v>2</v>
      </c>
      <c r="BY31" s="39">
        <v>0.2</v>
      </c>
      <c r="BZ31" s="39">
        <v>0</v>
      </c>
      <c r="CA31" s="39">
        <v>0</v>
      </c>
      <c r="CB31" s="39">
        <v>0</v>
      </c>
      <c r="CC31" s="39">
        <v>11</v>
      </c>
      <c r="CD31" s="39">
        <v>1</v>
      </c>
      <c r="CE31" s="39">
        <v>0</v>
      </c>
      <c r="CF31" s="39">
        <v>0</v>
      </c>
      <c r="CG31" s="39">
        <v>0</v>
      </c>
      <c r="CH31" s="39">
        <v>0</v>
      </c>
      <c r="CI31" s="39">
        <v>0</v>
      </c>
      <c r="CJ31" s="39">
        <v>0</v>
      </c>
      <c r="CK31" s="39">
        <v>0</v>
      </c>
      <c r="CL31" s="39">
        <v>0</v>
      </c>
      <c r="CM31" s="39">
        <v>0</v>
      </c>
      <c r="CN31" s="39">
        <v>0</v>
      </c>
      <c r="CO31" s="39">
        <v>0</v>
      </c>
      <c r="CP31" s="39">
        <v>0</v>
      </c>
      <c r="CQ31" s="39">
        <v>15</v>
      </c>
      <c r="CR31" s="39">
        <v>15</v>
      </c>
      <c r="CS31" s="39">
        <v>0</v>
      </c>
      <c r="CT31" s="39">
        <v>5.625</v>
      </c>
      <c r="CU31" s="39">
        <v>7</v>
      </c>
      <c r="CV31" s="39">
        <v>0</v>
      </c>
      <c r="CW31" s="39">
        <v>9.5</v>
      </c>
      <c r="CX31" s="39">
        <v>0</v>
      </c>
      <c r="CY31" s="39">
        <v>0</v>
      </c>
      <c r="CZ31" s="39">
        <v>0</v>
      </c>
      <c r="DA31" s="39">
        <v>0</v>
      </c>
      <c r="DB31" s="39">
        <v>0</v>
      </c>
      <c r="DC31" s="39">
        <v>6</v>
      </c>
      <c r="DD31" s="39">
        <v>0</v>
      </c>
      <c r="DE31" s="39">
        <v>0</v>
      </c>
      <c r="DF31" s="39">
        <v>4</v>
      </c>
      <c r="DG31" s="39">
        <v>1</v>
      </c>
      <c r="DH31" s="39">
        <v>1</v>
      </c>
      <c r="DI31" s="39">
        <v>0</v>
      </c>
      <c r="DJ31" s="39">
        <v>8</v>
      </c>
      <c r="DK31" s="39">
        <v>5</v>
      </c>
      <c r="DL31" s="39">
        <v>0</v>
      </c>
      <c r="DM31" s="39">
        <v>2</v>
      </c>
      <c r="DN31" s="39">
        <v>0</v>
      </c>
      <c r="DO31" s="39">
        <v>0</v>
      </c>
      <c r="DP31" s="39">
        <v>0</v>
      </c>
      <c r="DQ31" s="39">
        <v>0</v>
      </c>
      <c r="DR31" s="39">
        <v>0</v>
      </c>
      <c r="DS31" s="39">
        <v>1</v>
      </c>
      <c r="DT31" s="39">
        <v>0</v>
      </c>
      <c r="DU31" s="39">
        <v>0</v>
      </c>
      <c r="DV31" s="39">
        <v>1</v>
      </c>
      <c r="DW31" s="39">
        <v>1</v>
      </c>
      <c r="DX31" s="39">
        <v>1</v>
      </c>
      <c r="DY31" s="39">
        <v>0</v>
      </c>
      <c r="DZ31" s="39">
        <v>4</v>
      </c>
      <c r="EA31" s="39">
        <v>2</v>
      </c>
      <c r="EB31" s="39">
        <v>0</v>
      </c>
      <c r="EC31" s="39">
        <v>2</v>
      </c>
      <c r="ED31" s="39">
        <v>0</v>
      </c>
      <c r="EE31" s="39">
        <v>0</v>
      </c>
      <c r="EF31" s="39">
        <v>0</v>
      </c>
      <c r="EG31" s="39">
        <v>0</v>
      </c>
      <c r="EH31" s="39">
        <v>0</v>
      </c>
      <c r="EI31" s="39">
        <v>1</v>
      </c>
      <c r="EJ31" s="39">
        <v>0</v>
      </c>
      <c r="EK31" s="39">
        <v>0</v>
      </c>
      <c r="EL31" s="39">
        <v>1</v>
      </c>
      <c r="EM31" s="39">
        <v>1.9</v>
      </c>
      <c r="EN31" s="39">
        <v>3.5</v>
      </c>
      <c r="EO31" s="39">
        <v>5.7</v>
      </c>
      <c r="EP31" s="39"/>
    </row>
    <row r="32" spans="1:146" x14ac:dyDescent="0.25">
      <c r="A32" s="39">
        <v>3481</v>
      </c>
      <c r="B32" s="39" t="s">
        <v>242</v>
      </c>
      <c r="C32" s="39">
        <v>8</v>
      </c>
      <c r="D32" s="39">
        <v>0</v>
      </c>
      <c r="E32" s="39">
        <v>7</v>
      </c>
      <c r="F32" s="39">
        <v>1</v>
      </c>
      <c r="G32" s="39">
        <v>8</v>
      </c>
      <c r="H32" s="39">
        <v>1</v>
      </c>
      <c r="I32" s="39">
        <v>0.125</v>
      </c>
      <c r="J32" s="39">
        <v>0</v>
      </c>
      <c r="K32" s="39">
        <v>0</v>
      </c>
      <c r="L32" s="39">
        <v>100</v>
      </c>
      <c r="M32" s="39">
        <v>0.875</v>
      </c>
      <c r="N32" s="39">
        <v>0.875</v>
      </c>
      <c r="O32" s="39">
        <v>7</v>
      </c>
      <c r="P32" s="39">
        <v>7</v>
      </c>
      <c r="Q32" s="39">
        <v>0</v>
      </c>
      <c r="R32" s="39">
        <v>0</v>
      </c>
      <c r="S32" s="39">
        <v>0</v>
      </c>
      <c r="T32" s="39">
        <v>0</v>
      </c>
      <c r="U32" s="39">
        <v>0</v>
      </c>
      <c r="V32" s="39">
        <v>0</v>
      </c>
      <c r="W32" s="39">
        <v>0</v>
      </c>
      <c r="X32" s="39">
        <v>0</v>
      </c>
      <c r="Y32" s="39">
        <v>0</v>
      </c>
      <c r="Z32" s="39">
        <v>0</v>
      </c>
      <c r="AA32" s="39">
        <v>0</v>
      </c>
      <c r="AB32" s="39">
        <v>0.125</v>
      </c>
      <c r="AC32" s="39">
        <v>0</v>
      </c>
      <c r="AD32" s="39">
        <v>0</v>
      </c>
      <c r="AE32" s="39">
        <v>0</v>
      </c>
      <c r="AF32" s="39">
        <v>0</v>
      </c>
      <c r="AG32" s="39">
        <v>0</v>
      </c>
      <c r="AH32" s="39">
        <v>61</v>
      </c>
      <c r="AI32" s="39">
        <v>7.625</v>
      </c>
      <c r="AJ32" s="39">
        <v>10</v>
      </c>
      <c r="AK32" s="39">
        <v>18</v>
      </c>
      <c r="AL32" s="39">
        <v>2.25</v>
      </c>
      <c r="AM32" s="39">
        <v>100</v>
      </c>
      <c r="AN32" s="39">
        <v>1.25</v>
      </c>
      <c r="AO32" s="39">
        <v>1.25</v>
      </c>
      <c r="AP32" s="39">
        <v>10</v>
      </c>
      <c r="AQ32" s="39">
        <v>10</v>
      </c>
      <c r="AR32" s="39">
        <v>17</v>
      </c>
      <c r="AS32" s="39">
        <v>2.125</v>
      </c>
      <c r="AT32" s="39">
        <v>16</v>
      </c>
      <c r="AU32" s="39">
        <v>2</v>
      </c>
      <c r="AV32" s="39">
        <v>71.429000000000002</v>
      </c>
      <c r="AW32" s="39">
        <v>0.625</v>
      </c>
      <c r="AX32" s="39">
        <v>0.875</v>
      </c>
      <c r="AY32" s="39">
        <v>5</v>
      </c>
      <c r="AZ32" s="39">
        <v>7</v>
      </c>
      <c r="BA32" s="39">
        <v>94.117999999999995</v>
      </c>
      <c r="BB32" s="39">
        <v>2</v>
      </c>
      <c r="BC32" s="39">
        <v>2.125</v>
      </c>
      <c r="BD32" s="39">
        <v>16</v>
      </c>
      <c r="BE32" s="39">
        <v>17</v>
      </c>
      <c r="BF32" s="39">
        <v>100</v>
      </c>
      <c r="BG32" s="39">
        <v>0.5</v>
      </c>
      <c r="BH32" s="39">
        <v>0.5</v>
      </c>
      <c r="BI32" s="39">
        <v>4</v>
      </c>
      <c r="BJ32" s="39">
        <v>4</v>
      </c>
      <c r="BK32" s="39">
        <v>93.75</v>
      </c>
      <c r="BL32" s="39">
        <v>1.875</v>
      </c>
      <c r="BM32" s="39">
        <v>2</v>
      </c>
      <c r="BN32" s="39">
        <v>15</v>
      </c>
      <c r="BO32" s="39">
        <v>16</v>
      </c>
      <c r="BP32" s="39">
        <v>100</v>
      </c>
      <c r="BQ32" s="39">
        <v>1.625</v>
      </c>
      <c r="BR32" s="39">
        <v>1.625</v>
      </c>
      <c r="BS32" s="39">
        <v>13</v>
      </c>
      <c r="BT32" s="39">
        <v>13</v>
      </c>
      <c r="BU32" s="39">
        <v>53</v>
      </c>
      <c r="BV32" s="39">
        <v>6.625</v>
      </c>
      <c r="BW32" s="39">
        <v>10</v>
      </c>
      <c r="BX32" s="39">
        <v>3</v>
      </c>
      <c r="BY32" s="39">
        <v>0.375</v>
      </c>
      <c r="BZ32" s="39">
        <v>0</v>
      </c>
      <c r="CA32" s="39">
        <v>0</v>
      </c>
      <c r="CB32" s="39">
        <v>0</v>
      </c>
      <c r="CC32" s="39">
        <v>11</v>
      </c>
      <c r="CD32" s="39">
        <v>2</v>
      </c>
      <c r="CE32" s="39">
        <v>0</v>
      </c>
      <c r="CF32" s="39">
        <v>100</v>
      </c>
      <c r="CG32" s="39">
        <v>4</v>
      </c>
      <c r="CH32" s="39">
        <v>4</v>
      </c>
      <c r="CI32" s="39">
        <v>0</v>
      </c>
      <c r="CJ32" s="39">
        <v>0</v>
      </c>
      <c r="CK32" s="39">
        <v>0</v>
      </c>
      <c r="CL32" s="39">
        <v>0</v>
      </c>
      <c r="CM32" s="39">
        <v>0</v>
      </c>
      <c r="CN32" s="39">
        <v>0</v>
      </c>
      <c r="CO32" s="39">
        <v>0</v>
      </c>
      <c r="CP32" s="39">
        <v>2</v>
      </c>
      <c r="CQ32" s="39">
        <v>0</v>
      </c>
      <c r="CR32" s="39">
        <v>3.5</v>
      </c>
      <c r="CS32" s="39">
        <v>0</v>
      </c>
      <c r="CT32" s="39">
        <v>4.1920000000000002</v>
      </c>
      <c r="CU32" s="39">
        <v>9.7050000000000001</v>
      </c>
      <c r="CV32" s="39">
        <v>0</v>
      </c>
      <c r="CW32" s="39">
        <v>11.111000000000001</v>
      </c>
      <c r="CX32" s="39">
        <v>0</v>
      </c>
      <c r="CY32" s="39">
        <v>8</v>
      </c>
      <c r="CZ32" s="39">
        <v>0</v>
      </c>
      <c r="DA32" s="39">
        <v>6.3</v>
      </c>
      <c r="DB32" s="39">
        <v>3</v>
      </c>
      <c r="DC32" s="39">
        <v>5.8330000000000002</v>
      </c>
      <c r="DD32" s="39">
        <v>9.5</v>
      </c>
      <c r="DE32" s="39">
        <v>7.9249999999999998</v>
      </c>
      <c r="DF32" s="39">
        <v>8</v>
      </c>
      <c r="DG32" s="39">
        <v>0</v>
      </c>
      <c r="DH32" s="39">
        <v>2</v>
      </c>
      <c r="DI32" s="39">
        <v>0</v>
      </c>
      <c r="DJ32" s="39">
        <v>17</v>
      </c>
      <c r="DK32" s="39">
        <v>15</v>
      </c>
      <c r="DL32" s="39">
        <v>0</v>
      </c>
      <c r="DM32" s="39">
        <v>5</v>
      </c>
      <c r="DN32" s="39">
        <v>0</v>
      </c>
      <c r="DO32" s="39">
        <v>3</v>
      </c>
      <c r="DP32" s="39">
        <v>0</v>
      </c>
      <c r="DQ32" s="39">
        <v>7</v>
      </c>
      <c r="DR32" s="39">
        <v>1</v>
      </c>
      <c r="DS32" s="39">
        <v>4</v>
      </c>
      <c r="DT32" s="39">
        <v>4</v>
      </c>
      <c r="DU32" s="39">
        <v>3</v>
      </c>
      <c r="DV32" s="39">
        <v>1</v>
      </c>
      <c r="DW32" s="39">
        <v>0</v>
      </c>
      <c r="DX32" s="39">
        <v>1</v>
      </c>
      <c r="DY32" s="39">
        <v>0</v>
      </c>
      <c r="DZ32" s="39">
        <v>8</v>
      </c>
      <c r="EA32" s="39">
        <v>5</v>
      </c>
      <c r="EB32" s="39">
        <v>0</v>
      </c>
      <c r="EC32" s="39">
        <v>3</v>
      </c>
      <c r="ED32" s="39">
        <v>0</v>
      </c>
      <c r="EE32" s="39">
        <v>2</v>
      </c>
      <c r="EF32" s="39">
        <v>0</v>
      </c>
      <c r="EG32" s="39">
        <v>5</v>
      </c>
      <c r="EH32" s="39">
        <v>1</v>
      </c>
      <c r="EI32" s="39">
        <v>2</v>
      </c>
      <c r="EJ32" s="39">
        <v>2</v>
      </c>
      <c r="EK32" s="39">
        <v>2</v>
      </c>
      <c r="EL32" s="39">
        <v>1</v>
      </c>
      <c r="EM32" s="39">
        <v>3.25</v>
      </c>
      <c r="EN32" s="39">
        <v>0</v>
      </c>
      <c r="EO32" s="39">
        <v>14.25</v>
      </c>
      <c r="EP32" s="39"/>
    </row>
    <row r="33" spans="1:146" x14ac:dyDescent="0.25">
      <c r="A33" s="39">
        <v>3501</v>
      </c>
      <c r="B33" s="39" t="s">
        <v>243</v>
      </c>
      <c r="C33" s="39">
        <v>10</v>
      </c>
      <c r="D33" s="39">
        <v>2</v>
      </c>
      <c r="E33" s="39">
        <v>6</v>
      </c>
      <c r="F33" s="39">
        <v>2</v>
      </c>
      <c r="G33" s="39">
        <v>9</v>
      </c>
      <c r="H33" s="39">
        <v>0</v>
      </c>
      <c r="I33" s="39">
        <v>0</v>
      </c>
      <c r="J33" s="39">
        <v>0</v>
      </c>
      <c r="K33" s="39">
        <v>0</v>
      </c>
      <c r="L33" s="39">
        <v>100</v>
      </c>
      <c r="M33" s="39">
        <v>0.6</v>
      </c>
      <c r="N33" s="39">
        <v>0.6</v>
      </c>
      <c r="O33" s="39">
        <v>6</v>
      </c>
      <c r="P33" s="39">
        <v>6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>
        <v>0.3</v>
      </c>
      <c r="W33" s="39">
        <v>0</v>
      </c>
      <c r="X33" s="39">
        <v>0</v>
      </c>
      <c r="Y33" s="39">
        <v>0</v>
      </c>
      <c r="Z33" s="39">
        <v>0</v>
      </c>
      <c r="AA33" s="39">
        <v>0</v>
      </c>
      <c r="AB33" s="39">
        <v>0.3</v>
      </c>
      <c r="AC33" s="39">
        <v>0</v>
      </c>
      <c r="AD33" s="39">
        <v>0</v>
      </c>
      <c r="AE33" s="39">
        <v>0</v>
      </c>
      <c r="AF33" s="39">
        <v>0</v>
      </c>
      <c r="AG33" s="39">
        <v>0</v>
      </c>
      <c r="AH33" s="39">
        <v>66</v>
      </c>
      <c r="AI33" s="39">
        <v>6.6</v>
      </c>
      <c r="AJ33" s="39">
        <v>12</v>
      </c>
      <c r="AK33" s="39">
        <v>14</v>
      </c>
      <c r="AL33" s="39">
        <v>1.4</v>
      </c>
      <c r="AM33" s="39">
        <v>100</v>
      </c>
      <c r="AN33" s="39">
        <v>0.3</v>
      </c>
      <c r="AO33" s="39">
        <v>0.3</v>
      </c>
      <c r="AP33" s="39">
        <v>3</v>
      </c>
      <c r="AQ33" s="39">
        <v>3</v>
      </c>
      <c r="AR33" s="39">
        <v>40</v>
      </c>
      <c r="AS33" s="39">
        <v>4</v>
      </c>
      <c r="AT33" s="39">
        <v>9</v>
      </c>
      <c r="AU33" s="39">
        <v>0.9</v>
      </c>
      <c r="AV33" s="39">
        <v>91.667000000000002</v>
      </c>
      <c r="AW33" s="39">
        <v>1.1000000000000001</v>
      </c>
      <c r="AX33" s="39">
        <v>1.2</v>
      </c>
      <c r="AY33" s="39">
        <v>11</v>
      </c>
      <c r="AZ33" s="39">
        <v>12</v>
      </c>
      <c r="BA33" s="39">
        <v>0</v>
      </c>
      <c r="BB33" s="39">
        <v>0</v>
      </c>
      <c r="BC33" s="39">
        <v>0</v>
      </c>
      <c r="BD33" s="39">
        <v>0</v>
      </c>
      <c r="BE33" s="39">
        <v>0</v>
      </c>
      <c r="BF33" s="39">
        <v>76.923000000000002</v>
      </c>
      <c r="BG33" s="39">
        <v>1</v>
      </c>
      <c r="BH33" s="39">
        <v>1.3</v>
      </c>
      <c r="BI33" s="39">
        <v>10</v>
      </c>
      <c r="BJ33" s="39">
        <v>13</v>
      </c>
      <c r="BK33" s="39">
        <v>62.5</v>
      </c>
      <c r="BL33" s="39">
        <v>0.5</v>
      </c>
      <c r="BM33" s="39">
        <v>0.8</v>
      </c>
      <c r="BN33" s="39">
        <v>5</v>
      </c>
      <c r="BO33" s="39">
        <v>8</v>
      </c>
      <c r="BP33" s="39">
        <v>97.058999999999997</v>
      </c>
      <c r="BQ33" s="39">
        <v>3.3</v>
      </c>
      <c r="BR33" s="39">
        <v>3.4</v>
      </c>
      <c r="BS33" s="39">
        <v>33</v>
      </c>
      <c r="BT33" s="39">
        <v>34</v>
      </c>
      <c r="BU33" s="39">
        <v>59</v>
      </c>
      <c r="BV33" s="39">
        <v>5.9</v>
      </c>
      <c r="BW33" s="39">
        <v>11</v>
      </c>
      <c r="BX33" s="39">
        <v>1</v>
      </c>
      <c r="BY33" s="39">
        <v>0.1</v>
      </c>
      <c r="BZ33" s="39">
        <v>0</v>
      </c>
      <c r="CA33" s="39">
        <v>0</v>
      </c>
      <c r="CB33" s="39">
        <v>0</v>
      </c>
      <c r="CC33" s="39">
        <v>11</v>
      </c>
      <c r="CD33" s="39">
        <v>2</v>
      </c>
      <c r="CE33" s="39">
        <v>0</v>
      </c>
      <c r="CF33" s="39">
        <v>0</v>
      </c>
      <c r="CG33" s="39">
        <v>0</v>
      </c>
      <c r="CH33" s="39">
        <v>0</v>
      </c>
      <c r="CI33" s="39">
        <v>0</v>
      </c>
      <c r="CJ33" s="39">
        <v>0</v>
      </c>
      <c r="CK33" s="39">
        <v>0</v>
      </c>
      <c r="CL33" s="39">
        <v>0</v>
      </c>
      <c r="CM33" s="39">
        <v>0</v>
      </c>
      <c r="CN33" s="39">
        <v>0</v>
      </c>
      <c r="CO33" s="39">
        <v>0</v>
      </c>
      <c r="CP33" s="39">
        <v>3</v>
      </c>
      <c r="CQ33" s="39">
        <v>12.5</v>
      </c>
      <c r="CR33" s="39">
        <v>3.633</v>
      </c>
      <c r="CS33" s="39">
        <v>0</v>
      </c>
      <c r="CT33" s="39">
        <v>13.257</v>
      </c>
      <c r="CU33" s="39">
        <v>5</v>
      </c>
      <c r="CV33" s="39">
        <v>5</v>
      </c>
      <c r="CW33" s="39">
        <v>0</v>
      </c>
      <c r="CX33" s="39">
        <v>0</v>
      </c>
      <c r="CY33" s="39">
        <v>0</v>
      </c>
      <c r="CZ33" s="39">
        <v>0</v>
      </c>
      <c r="DA33" s="39">
        <v>0</v>
      </c>
      <c r="DB33" s="39">
        <v>0</v>
      </c>
      <c r="DC33" s="39">
        <v>6.444</v>
      </c>
      <c r="DD33" s="39">
        <v>6</v>
      </c>
      <c r="DE33" s="39">
        <v>0</v>
      </c>
      <c r="DF33" s="39">
        <v>7</v>
      </c>
      <c r="DG33" s="39">
        <v>4</v>
      </c>
      <c r="DH33" s="39">
        <v>8</v>
      </c>
      <c r="DI33" s="39">
        <v>0</v>
      </c>
      <c r="DJ33" s="39">
        <v>32</v>
      </c>
      <c r="DK33" s="39">
        <v>6</v>
      </c>
      <c r="DL33" s="39">
        <v>2</v>
      </c>
      <c r="DM33" s="39">
        <v>0</v>
      </c>
      <c r="DN33" s="39">
        <v>0</v>
      </c>
      <c r="DO33" s="39">
        <v>0</v>
      </c>
      <c r="DP33" s="39">
        <v>0</v>
      </c>
      <c r="DQ33" s="39">
        <v>0</v>
      </c>
      <c r="DR33" s="39">
        <v>0</v>
      </c>
      <c r="DS33" s="39">
        <v>11</v>
      </c>
      <c r="DT33" s="39">
        <v>1</v>
      </c>
      <c r="DU33" s="39">
        <v>0</v>
      </c>
      <c r="DV33" s="39">
        <v>4</v>
      </c>
      <c r="DW33" s="39">
        <v>2</v>
      </c>
      <c r="DX33" s="39">
        <v>5</v>
      </c>
      <c r="DY33" s="39">
        <v>0</v>
      </c>
      <c r="DZ33" s="39">
        <v>9</v>
      </c>
      <c r="EA33" s="39">
        <v>2</v>
      </c>
      <c r="EB33" s="39">
        <v>1</v>
      </c>
      <c r="EC33" s="39">
        <v>0</v>
      </c>
      <c r="ED33" s="39">
        <v>0</v>
      </c>
      <c r="EE33" s="39">
        <v>0</v>
      </c>
      <c r="EF33" s="39">
        <v>0</v>
      </c>
      <c r="EG33" s="39">
        <v>0</v>
      </c>
      <c r="EH33" s="39">
        <v>0</v>
      </c>
      <c r="EI33" s="39">
        <v>4</v>
      </c>
      <c r="EJ33" s="39">
        <v>1</v>
      </c>
      <c r="EK33" s="39">
        <v>0</v>
      </c>
      <c r="EL33" s="39">
        <v>1</v>
      </c>
      <c r="EM33" s="39">
        <v>2.7</v>
      </c>
      <c r="EN33" s="39">
        <v>2</v>
      </c>
      <c r="EO33" s="39">
        <v>12.5</v>
      </c>
      <c r="EP33" s="39"/>
    </row>
    <row r="34" spans="1:146" x14ac:dyDescent="0.25">
      <c r="A34" s="39">
        <v>3737</v>
      </c>
      <c r="B34" s="39" t="s">
        <v>244</v>
      </c>
      <c r="C34" s="39">
        <v>10</v>
      </c>
      <c r="D34" s="39">
        <v>6</v>
      </c>
      <c r="E34" s="39">
        <v>3</v>
      </c>
      <c r="F34" s="39">
        <v>1</v>
      </c>
      <c r="G34" s="39">
        <v>10</v>
      </c>
      <c r="H34" s="39">
        <v>2</v>
      </c>
      <c r="I34" s="39">
        <v>0.2</v>
      </c>
      <c r="J34" s="39">
        <v>0</v>
      </c>
      <c r="K34" s="39">
        <v>0</v>
      </c>
      <c r="L34" s="39">
        <v>100</v>
      </c>
      <c r="M34" s="39">
        <v>0.4</v>
      </c>
      <c r="N34" s="39">
        <v>0.4</v>
      </c>
      <c r="O34" s="39">
        <v>4</v>
      </c>
      <c r="P34" s="39">
        <v>4</v>
      </c>
      <c r="Q34" s="39">
        <v>50</v>
      </c>
      <c r="R34" s="39">
        <v>0.2</v>
      </c>
      <c r="S34" s="39">
        <v>0.4</v>
      </c>
      <c r="T34" s="39">
        <v>2</v>
      </c>
      <c r="U34" s="39">
        <v>4</v>
      </c>
      <c r="V34" s="39">
        <v>0.4</v>
      </c>
      <c r="W34" s="39">
        <v>0</v>
      </c>
      <c r="X34" s="39">
        <v>0</v>
      </c>
      <c r="Y34" s="39">
        <v>0</v>
      </c>
      <c r="Z34" s="39">
        <v>0</v>
      </c>
      <c r="AA34" s="39">
        <v>0</v>
      </c>
      <c r="AB34" s="39">
        <v>0.2</v>
      </c>
      <c r="AC34" s="39">
        <v>0</v>
      </c>
      <c r="AD34" s="39">
        <v>0</v>
      </c>
      <c r="AE34" s="39">
        <v>0</v>
      </c>
      <c r="AF34" s="39">
        <v>0</v>
      </c>
      <c r="AG34" s="39">
        <v>0</v>
      </c>
      <c r="AH34" s="39">
        <v>44</v>
      </c>
      <c r="AI34" s="39">
        <v>4.4000000000000004</v>
      </c>
      <c r="AJ34" s="39">
        <v>7</v>
      </c>
      <c r="AK34" s="39">
        <v>4</v>
      </c>
      <c r="AL34" s="39">
        <v>0.4</v>
      </c>
      <c r="AM34" s="39">
        <v>100</v>
      </c>
      <c r="AN34" s="39">
        <v>0.4</v>
      </c>
      <c r="AO34" s="39">
        <v>0.4</v>
      </c>
      <c r="AP34" s="39">
        <v>4</v>
      </c>
      <c r="AQ34" s="39">
        <v>4</v>
      </c>
      <c r="AR34" s="39">
        <v>11</v>
      </c>
      <c r="AS34" s="39">
        <v>1.1000000000000001</v>
      </c>
      <c r="AT34" s="39">
        <v>25</v>
      </c>
      <c r="AU34" s="39">
        <v>2.5</v>
      </c>
      <c r="AV34" s="39">
        <v>100</v>
      </c>
      <c r="AW34" s="39">
        <v>0.8</v>
      </c>
      <c r="AX34" s="39">
        <v>0.8</v>
      </c>
      <c r="AY34" s="39">
        <v>8</v>
      </c>
      <c r="AZ34" s="39">
        <v>8</v>
      </c>
      <c r="BA34" s="39">
        <v>90.909000000000006</v>
      </c>
      <c r="BB34" s="39">
        <v>1</v>
      </c>
      <c r="BC34" s="39">
        <v>1.1000000000000001</v>
      </c>
      <c r="BD34" s="39">
        <v>10</v>
      </c>
      <c r="BE34" s="39">
        <v>11</v>
      </c>
      <c r="BF34" s="39">
        <v>66.667000000000002</v>
      </c>
      <c r="BG34" s="39">
        <v>0.8</v>
      </c>
      <c r="BH34" s="39">
        <v>1.2</v>
      </c>
      <c r="BI34" s="39">
        <v>8</v>
      </c>
      <c r="BJ34" s="39">
        <v>12</v>
      </c>
      <c r="BK34" s="39">
        <v>81.817999999999998</v>
      </c>
      <c r="BL34" s="39">
        <v>0.9</v>
      </c>
      <c r="BM34" s="39">
        <v>1.1000000000000001</v>
      </c>
      <c r="BN34" s="39">
        <v>9</v>
      </c>
      <c r="BO34" s="39">
        <v>11</v>
      </c>
      <c r="BP34" s="39">
        <v>100</v>
      </c>
      <c r="BQ34" s="39">
        <v>0.8</v>
      </c>
      <c r="BR34" s="39">
        <v>0.8</v>
      </c>
      <c r="BS34" s="39">
        <v>8</v>
      </c>
      <c r="BT34" s="39">
        <v>8</v>
      </c>
      <c r="BU34" s="39">
        <v>43</v>
      </c>
      <c r="BV34" s="39">
        <v>4.3</v>
      </c>
      <c r="BW34" s="39">
        <v>7</v>
      </c>
      <c r="BX34" s="39">
        <v>0</v>
      </c>
      <c r="BY34" s="39">
        <v>0</v>
      </c>
      <c r="BZ34" s="39">
        <v>0</v>
      </c>
      <c r="CA34" s="39">
        <v>0</v>
      </c>
      <c r="CB34" s="39">
        <v>0</v>
      </c>
      <c r="CC34" s="39">
        <v>22</v>
      </c>
      <c r="CD34" s="39">
        <v>1</v>
      </c>
      <c r="CE34" s="39">
        <v>0</v>
      </c>
      <c r="CF34" s="39">
        <v>100</v>
      </c>
      <c r="CG34" s="39">
        <v>7</v>
      </c>
      <c r="CH34" s="39">
        <v>7</v>
      </c>
      <c r="CI34" s="39">
        <v>0</v>
      </c>
      <c r="CJ34" s="39">
        <v>0</v>
      </c>
      <c r="CK34" s="39">
        <v>0</v>
      </c>
      <c r="CL34" s="39">
        <v>0</v>
      </c>
      <c r="CM34" s="39">
        <v>0</v>
      </c>
      <c r="CN34" s="39">
        <v>0</v>
      </c>
      <c r="CO34" s="39">
        <v>0</v>
      </c>
      <c r="CP34" s="39">
        <v>2</v>
      </c>
      <c r="CQ34" s="39">
        <v>11.75</v>
      </c>
      <c r="CR34" s="39">
        <v>8.5</v>
      </c>
      <c r="CS34" s="39">
        <v>0</v>
      </c>
      <c r="CT34" s="39">
        <v>5.6669999999999998</v>
      </c>
      <c r="CU34" s="39">
        <v>8.2140000000000004</v>
      </c>
      <c r="CV34" s="39">
        <v>6</v>
      </c>
      <c r="CW34" s="39">
        <v>13.694000000000001</v>
      </c>
      <c r="CX34" s="39">
        <v>0</v>
      </c>
      <c r="CY34" s="39">
        <v>13.5</v>
      </c>
      <c r="CZ34" s="39">
        <v>0</v>
      </c>
      <c r="DA34" s="39">
        <v>0</v>
      </c>
      <c r="DB34" s="39">
        <v>0</v>
      </c>
      <c r="DC34" s="39">
        <v>5.5</v>
      </c>
      <c r="DD34" s="39">
        <v>0</v>
      </c>
      <c r="DE34" s="39">
        <v>6</v>
      </c>
      <c r="DF34" s="39">
        <v>0</v>
      </c>
      <c r="DG34" s="39">
        <v>3</v>
      </c>
      <c r="DH34" s="39">
        <v>3</v>
      </c>
      <c r="DI34" s="39">
        <v>0</v>
      </c>
      <c r="DJ34" s="39">
        <v>7</v>
      </c>
      <c r="DK34" s="39">
        <v>14</v>
      </c>
      <c r="DL34" s="39">
        <v>3</v>
      </c>
      <c r="DM34" s="39">
        <v>8</v>
      </c>
      <c r="DN34" s="39">
        <v>0</v>
      </c>
      <c r="DO34" s="39">
        <v>2</v>
      </c>
      <c r="DP34" s="39">
        <v>0</v>
      </c>
      <c r="DQ34" s="39">
        <v>0</v>
      </c>
      <c r="DR34" s="39">
        <v>0</v>
      </c>
      <c r="DS34" s="39">
        <v>2</v>
      </c>
      <c r="DT34" s="39">
        <v>0</v>
      </c>
      <c r="DU34" s="39">
        <v>1</v>
      </c>
      <c r="DV34" s="39">
        <v>0</v>
      </c>
      <c r="DW34" s="39">
        <v>2</v>
      </c>
      <c r="DX34" s="39">
        <v>2</v>
      </c>
      <c r="DY34" s="39">
        <v>0</v>
      </c>
      <c r="DZ34" s="39">
        <v>6</v>
      </c>
      <c r="EA34" s="39">
        <v>4</v>
      </c>
      <c r="EB34" s="39">
        <v>2</v>
      </c>
      <c r="EC34" s="39">
        <v>4</v>
      </c>
      <c r="ED34" s="39">
        <v>0</v>
      </c>
      <c r="EE34" s="39">
        <v>1</v>
      </c>
      <c r="EF34" s="39">
        <v>0</v>
      </c>
      <c r="EG34" s="39">
        <v>0</v>
      </c>
      <c r="EH34" s="39">
        <v>0</v>
      </c>
      <c r="EI34" s="39">
        <v>1</v>
      </c>
      <c r="EJ34" s="39">
        <v>0</v>
      </c>
      <c r="EK34" s="39">
        <v>1</v>
      </c>
      <c r="EL34" s="39">
        <v>0</v>
      </c>
      <c r="EM34" s="39">
        <v>3.1</v>
      </c>
      <c r="EN34" s="39">
        <v>2</v>
      </c>
      <c r="EO34" s="39">
        <v>8.6999999999999993</v>
      </c>
      <c r="EP34" s="39"/>
    </row>
    <row r="35" spans="1:146" x14ac:dyDescent="0.25">
      <c r="A35" s="39">
        <v>3853</v>
      </c>
      <c r="B35" s="39" t="s">
        <v>245</v>
      </c>
      <c r="C35" s="39">
        <v>9</v>
      </c>
      <c r="D35" s="39">
        <v>5</v>
      </c>
      <c r="E35" s="39">
        <v>2</v>
      </c>
      <c r="F35" s="39">
        <v>2</v>
      </c>
      <c r="G35" s="39">
        <v>8</v>
      </c>
      <c r="H35" s="39">
        <v>0</v>
      </c>
      <c r="I35" s="39">
        <v>0</v>
      </c>
      <c r="J35" s="39">
        <v>0</v>
      </c>
      <c r="K35" s="39">
        <v>0</v>
      </c>
      <c r="L35" s="39">
        <v>99.9</v>
      </c>
      <c r="M35" s="39">
        <v>0.222</v>
      </c>
      <c r="N35" s="39">
        <v>0.222</v>
      </c>
      <c r="O35" s="39">
        <v>2</v>
      </c>
      <c r="P35" s="39">
        <v>2</v>
      </c>
      <c r="Q35" s="39">
        <v>0</v>
      </c>
      <c r="R35" s="39">
        <v>0</v>
      </c>
      <c r="S35" s="39">
        <v>0</v>
      </c>
      <c r="T35" s="39">
        <v>0</v>
      </c>
      <c r="U35" s="39">
        <v>0</v>
      </c>
      <c r="V35" s="39">
        <v>0.111</v>
      </c>
      <c r="W35" s="39">
        <v>0</v>
      </c>
      <c r="X35" s="39">
        <v>0</v>
      </c>
      <c r="Y35" s="39">
        <v>0</v>
      </c>
      <c r="Z35" s="39">
        <v>0</v>
      </c>
      <c r="AA35" s="39">
        <v>0</v>
      </c>
      <c r="AB35" s="39">
        <v>0</v>
      </c>
      <c r="AC35" s="39">
        <v>0</v>
      </c>
      <c r="AD35" s="39">
        <v>0</v>
      </c>
      <c r="AE35" s="39">
        <v>0</v>
      </c>
      <c r="AF35" s="39">
        <v>0</v>
      </c>
      <c r="AG35" s="39">
        <v>0</v>
      </c>
      <c r="AH35" s="39">
        <v>47</v>
      </c>
      <c r="AI35" s="39">
        <v>5.2220000000000004</v>
      </c>
      <c r="AJ35" s="39">
        <v>11</v>
      </c>
      <c r="AK35" s="39">
        <v>12</v>
      </c>
      <c r="AL35" s="39">
        <v>1.333</v>
      </c>
      <c r="AM35" s="39">
        <v>0</v>
      </c>
      <c r="AN35" s="39">
        <v>0</v>
      </c>
      <c r="AO35" s="39">
        <v>0</v>
      </c>
      <c r="AP35" s="39">
        <v>0</v>
      </c>
      <c r="AQ35" s="39">
        <v>0</v>
      </c>
      <c r="AR35" s="39">
        <v>19</v>
      </c>
      <c r="AS35" s="39">
        <v>2.1110000000000002</v>
      </c>
      <c r="AT35" s="39">
        <v>16</v>
      </c>
      <c r="AU35" s="39">
        <v>1.778</v>
      </c>
      <c r="AV35" s="39">
        <v>84.210999999999999</v>
      </c>
      <c r="AW35" s="39">
        <v>1.778</v>
      </c>
      <c r="AX35" s="39">
        <v>2.1110000000000002</v>
      </c>
      <c r="AY35" s="39">
        <v>16</v>
      </c>
      <c r="AZ35" s="39">
        <v>19</v>
      </c>
      <c r="BA35" s="39">
        <v>100</v>
      </c>
      <c r="BB35" s="39">
        <v>0.111</v>
      </c>
      <c r="BC35" s="39">
        <v>0.111</v>
      </c>
      <c r="BD35" s="39">
        <v>1</v>
      </c>
      <c r="BE35" s="39">
        <v>1</v>
      </c>
      <c r="BF35" s="39">
        <v>83.332999999999998</v>
      </c>
      <c r="BG35" s="39">
        <v>0.55600000000000005</v>
      </c>
      <c r="BH35" s="39">
        <v>0.66700000000000004</v>
      </c>
      <c r="BI35" s="39">
        <v>5</v>
      </c>
      <c r="BJ35" s="39">
        <v>6</v>
      </c>
      <c r="BK35" s="39">
        <v>100</v>
      </c>
      <c r="BL35" s="39">
        <v>1.333</v>
      </c>
      <c r="BM35" s="39">
        <v>1.333</v>
      </c>
      <c r="BN35" s="39">
        <v>12</v>
      </c>
      <c r="BO35" s="39">
        <v>12</v>
      </c>
      <c r="BP35" s="39">
        <v>92.308000000000007</v>
      </c>
      <c r="BQ35" s="39">
        <v>1.333</v>
      </c>
      <c r="BR35" s="39">
        <v>1.444</v>
      </c>
      <c r="BS35" s="39">
        <v>12</v>
      </c>
      <c r="BT35" s="39">
        <v>13</v>
      </c>
      <c r="BU35" s="39">
        <v>46</v>
      </c>
      <c r="BV35" s="39">
        <v>5.1109999999999998</v>
      </c>
      <c r="BW35" s="39">
        <v>9</v>
      </c>
      <c r="BX35" s="39">
        <v>0</v>
      </c>
      <c r="BY35" s="39">
        <v>0</v>
      </c>
      <c r="BZ35" s="39">
        <v>0</v>
      </c>
      <c r="CA35" s="39">
        <v>0</v>
      </c>
      <c r="CB35" s="39">
        <v>0</v>
      </c>
      <c r="CC35" s="39">
        <v>22</v>
      </c>
      <c r="CD35" s="39">
        <v>1</v>
      </c>
      <c r="CE35" s="39">
        <v>0</v>
      </c>
      <c r="CF35" s="39">
        <v>100</v>
      </c>
      <c r="CG35" s="39">
        <v>2</v>
      </c>
      <c r="CH35" s="39">
        <v>2</v>
      </c>
      <c r="CI35" s="39">
        <v>0</v>
      </c>
      <c r="CJ35" s="39">
        <v>0</v>
      </c>
      <c r="CK35" s="39">
        <v>0</v>
      </c>
      <c r="CL35" s="39">
        <v>0</v>
      </c>
      <c r="CM35" s="39">
        <v>0</v>
      </c>
      <c r="CN35" s="39">
        <v>0</v>
      </c>
      <c r="CO35" s="39">
        <v>0</v>
      </c>
      <c r="CP35" s="39">
        <v>0</v>
      </c>
      <c r="CQ35" s="39">
        <v>10</v>
      </c>
      <c r="CR35" s="39">
        <v>4.1669999999999998</v>
      </c>
      <c r="CS35" s="39">
        <v>0</v>
      </c>
      <c r="CT35" s="39">
        <v>6.867</v>
      </c>
      <c r="CU35" s="39">
        <v>12.882999999999999</v>
      </c>
      <c r="CV35" s="39">
        <v>3.625</v>
      </c>
      <c r="CW35" s="39">
        <v>16</v>
      </c>
      <c r="CX35" s="39">
        <v>12</v>
      </c>
      <c r="CY35" s="39">
        <v>0</v>
      </c>
      <c r="CZ35" s="39">
        <v>0</v>
      </c>
      <c r="DA35" s="39">
        <v>0</v>
      </c>
      <c r="DB35" s="39">
        <v>0</v>
      </c>
      <c r="DC35" s="39">
        <v>0</v>
      </c>
      <c r="DD35" s="39">
        <v>7</v>
      </c>
      <c r="DE35" s="39">
        <v>0</v>
      </c>
      <c r="DF35" s="39">
        <v>5</v>
      </c>
      <c r="DG35" s="39">
        <v>1</v>
      </c>
      <c r="DH35" s="39">
        <v>7</v>
      </c>
      <c r="DI35" s="39">
        <v>0</v>
      </c>
      <c r="DJ35" s="39">
        <v>9</v>
      </c>
      <c r="DK35" s="39">
        <v>13</v>
      </c>
      <c r="DL35" s="39">
        <v>5</v>
      </c>
      <c r="DM35" s="39">
        <v>1</v>
      </c>
      <c r="DN35" s="39">
        <v>1</v>
      </c>
      <c r="DO35" s="39">
        <v>0</v>
      </c>
      <c r="DP35" s="39">
        <v>0</v>
      </c>
      <c r="DQ35" s="39">
        <v>0</v>
      </c>
      <c r="DR35" s="39">
        <v>0</v>
      </c>
      <c r="DS35" s="39">
        <v>0</v>
      </c>
      <c r="DT35" s="39">
        <v>6</v>
      </c>
      <c r="DU35" s="39">
        <v>0</v>
      </c>
      <c r="DV35" s="39">
        <v>1</v>
      </c>
      <c r="DW35" s="39">
        <v>1</v>
      </c>
      <c r="DX35" s="39">
        <v>3</v>
      </c>
      <c r="DY35" s="39">
        <v>0</v>
      </c>
      <c r="DZ35" s="39">
        <v>5</v>
      </c>
      <c r="EA35" s="39">
        <v>4</v>
      </c>
      <c r="EB35" s="39">
        <v>4</v>
      </c>
      <c r="EC35" s="39">
        <v>1</v>
      </c>
      <c r="ED35" s="39">
        <v>1</v>
      </c>
      <c r="EE35" s="39">
        <v>0</v>
      </c>
      <c r="EF35" s="39">
        <v>0</v>
      </c>
      <c r="EG35" s="39">
        <v>0</v>
      </c>
      <c r="EH35" s="39">
        <v>0</v>
      </c>
      <c r="EI35" s="39">
        <v>0</v>
      </c>
      <c r="EJ35" s="39">
        <v>4</v>
      </c>
      <c r="EK35" s="39">
        <v>0</v>
      </c>
      <c r="EL35" s="39">
        <v>1</v>
      </c>
      <c r="EM35" s="39">
        <v>2.8889999999999998</v>
      </c>
      <c r="EN35" s="39">
        <v>3</v>
      </c>
      <c r="EO35" s="39">
        <v>10.333</v>
      </c>
      <c r="EP35" s="39"/>
    </row>
    <row r="36" spans="1:146" x14ac:dyDescent="0.25">
      <c r="A36" s="39">
        <v>4061</v>
      </c>
      <c r="B36" s="39" t="s">
        <v>246</v>
      </c>
      <c r="C36" s="39">
        <v>10</v>
      </c>
      <c r="D36" s="39">
        <v>2</v>
      </c>
      <c r="E36" s="39">
        <v>6</v>
      </c>
      <c r="F36" s="39">
        <v>2</v>
      </c>
      <c r="G36" s="39">
        <v>10</v>
      </c>
      <c r="H36" s="39">
        <v>4</v>
      </c>
      <c r="I36" s="39">
        <v>0.4</v>
      </c>
      <c r="J36" s="39">
        <v>0</v>
      </c>
      <c r="K36" s="39">
        <v>0</v>
      </c>
      <c r="L36" s="39">
        <v>100</v>
      </c>
      <c r="M36" s="39">
        <v>0.7</v>
      </c>
      <c r="N36" s="39">
        <v>0.7</v>
      </c>
      <c r="O36" s="39">
        <v>7</v>
      </c>
      <c r="P36" s="39">
        <v>7</v>
      </c>
      <c r="Q36" s="39">
        <v>0</v>
      </c>
      <c r="R36" s="39">
        <v>0</v>
      </c>
      <c r="S36" s="39">
        <v>0</v>
      </c>
      <c r="T36" s="39">
        <v>0</v>
      </c>
      <c r="U36" s="39">
        <v>0</v>
      </c>
      <c r="V36" s="39">
        <v>0</v>
      </c>
      <c r="W36" s="39">
        <v>0</v>
      </c>
      <c r="X36" s="39">
        <v>0</v>
      </c>
      <c r="Y36" s="39">
        <v>0</v>
      </c>
      <c r="Z36" s="39">
        <v>0</v>
      </c>
      <c r="AA36" s="39">
        <v>0</v>
      </c>
      <c r="AB36" s="39">
        <v>0</v>
      </c>
      <c r="AC36" s="39">
        <v>0</v>
      </c>
      <c r="AD36" s="39">
        <v>0</v>
      </c>
      <c r="AE36" s="39">
        <v>0</v>
      </c>
      <c r="AF36" s="39">
        <v>0</v>
      </c>
      <c r="AG36" s="39">
        <v>0</v>
      </c>
      <c r="AH36" s="39">
        <v>87</v>
      </c>
      <c r="AI36" s="39">
        <v>8.6999999999999993</v>
      </c>
      <c r="AJ36" s="39">
        <v>13</v>
      </c>
      <c r="AK36" s="39">
        <v>12</v>
      </c>
      <c r="AL36" s="39">
        <v>1.2</v>
      </c>
      <c r="AM36" s="39">
        <v>100</v>
      </c>
      <c r="AN36" s="39">
        <v>1.7</v>
      </c>
      <c r="AO36" s="39">
        <v>1.7</v>
      </c>
      <c r="AP36" s="39">
        <v>17</v>
      </c>
      <c r="AQ36" s="39">
        <v>17</v>
      </c>
      <c r="AR36" s="39">
        <v>48</v>
      </c>
      <c r="AS36" s="39">
        <v>4.8</v>
      </c>
      <c r="AT36" s="39">
        <v>10</v>
      </c>
      <c r="AU36" s="39">
        <v>1</v>
      </c>
      <c r="AV36" s="39">
        <v>95.832999999999998</v>
      </c>
      <c r="AW36" s="39">
        <v>2.2999999999999998</v>
      </c>
      <c r="AX36" s="39">
        <v>2.4</v>
      </c>
      <c r="AY36" s="39">
        <v>23</v>
      </c>
      <c r="AZ36" s="39">
        <v>24</v>
      </c>
      <c r="BA36" s="39">
        <v>96.429000000000002</v>
      </c>
      <c r="BB36" s="39">
        <v>2.7</v>
      </c>
      <c r="BC36" s="39">
        <v>2.8</v>
      </c>
      <c r="BD36" s="39">
        <v>27</v>
      </c>
      <c r="BE36" s="39">
        <v>28</v>
      </c>
      <c r="BF36" s="39">
        <v>0</v>
      </c>
      <c r="BG36" s="39">
        <v>0</v>
      </c>
      <c r="BH36" s="39">
        <v>0</v>
      </c>
      <c r="BI36" s="39">
        <v>0</v>
      </c>
      <c r="BJ36" s="39">
        <v>0</v>
      </c>
      <c r="BK36" s="39">
        <v>0</v>
      </c>
      <c r="BL36" s="39">
        <v>0</v>
      </c>
      <c r="BM36" s="39">
        <v>0</v>
      </c>
      <c r="BN36" s="39">
        <v>0</v>
      </c>
      <c r="BO36" s="39">
        <v>0</v>
      </c>
      <c r="BP36" s="39">
        <v>100</v>
      </c>
      <c r="BQ36" s="39">
        <v>4.5999999999999996</v>
      </c>
      <c r="BR36" s="39">
        <v>4.5999999999999996</v>
      </c>
      <c r="BS36" s="39">
        <v>46</v>
      </c>
      <c r="BT36" s="39">
        <v>46</v>
      </c>
      <c r="BU36" s="39">
        <v>96</v>
      </c>
      <c r="BV36" s="39">
        <v>9.6</v>
      </c>
      <c r="BW36" s="39">
        <v>14</v>
      </c>
      <c r="BX36" s="39">
        <v>2</v>
      </c>
      <c r="BY36" s="39">
        <v>0.2</v>
      </c>
      <c r="BZ36" s="39">
        <v>0</v>
      </c>
      <c r="CA36" s="39">
        <v>0</v>
      </c>
      <c r="CB36" s="39">
        <v>0</v>
      </c>
      <c r="CC36" s="39">
        <v>0</v>
      </c>
      <c r="CD36" s="39">
        <v>0</v>
      </c>
      <c r="CE36" s="39">
        <v>0</v>
      </c>
      <c r="CF36" s="39">
        <v>0</v>
      </c>
      <c r="CG36" s="39">
        <v>0</v>
      </c>
      <c r="CH36" s="39">
        <v>0</v>
      </c>
      <c r="CI36" s="39">
        <v>0</v>
      </c>
      <c r="CJ36" s="39">
        <v>0</v>
      </c>
      <c r="CK36" s="39">
        <v>0</v>
      </c>
      <c r="CL36" s="39">
        <v>0</v>
      </c>
      <c r="CM36" s="39">
        <v>0</v>
      </c>
      <c r="CN36" s="39">
        <v>0</v>
      </c>
      <c r="CO36" s="39">
        <v>0</v>
      </c>
      <c r="CP36" s="39">
        <v>3</v>
      </c>
      <c r="CQ36" s="39">
        <v>0</v>
      </c>
      <c r="CR36" s="39">
        <v>4.8140000000000001</v>
      </c>
      <c r="CS36" s="39">
        <v>20</v>
      </c>
      <c r="CT36" s="39">
        <v>6.1509999999999998</v>
      </c>
      <c r="CU36" s="39">
        <v>0</v>
      </c>
      <c r="CV36" s="39">
        <v>3.5</v>
      </c>
      <c r="CW36" s="39">
        <v>0</v>
      </c>
      <c r="CX36" s="39">
        <v>6</v>
      </c>
      <c r="CY36" s="39">
        <v>0</v>
      </c>
      <c r="CZ36" s="39">
        <v>9</v>
      </c>
      <c r="DA36" s="39">
        <v>5.1550000000000002</v>
      </c>
      <c r="DB36" s="39">
        <v>7</v>
      </c>
      <c r="DC36" s="39">
        <v>0</v>
      </c>
      <c r="DD36" s="39">
        <v>7.25</v>
      </c>
      <c r="DE36" s="39">
        <v>11.532999999999999</v>
      </c>
      <c r="DF36" s="39">
        <v>3</v>
      </c>
      <c r="DG36" s="39">
        <v>0</v>
      </c>
      <c r="DH36" s="39">
        <v>14</v>
      </c>
      <c r="DI36" s="39">
        <v>2</v>
      </c>
      <c r="DJ36" s="39">
        <v>33</v>
      </c>
      <c r="DK36" s="39">
        <v>0</v>
      </c>
      <c r="DL36" s="39">
        <v>6</v>
      </c>
      <c r="DM36" s="39">
        <v>0</v>
      </c>
      <c r="DN36" s="39">
        <v>1</v>
      </c>
      <c r="DO36" s="39">
        <v>0</v>
      </c>
      <c r="DP36" s="39">
        <v>1</v>
      </c>
      <c r="DQ36" s="39">
        <v>12</v>
      </c>
      <c r="DR36" s="39">
        <v>1</v>
      </c>
      <c r="DS36" s="39">
        <v>0</v>
      </c>
      <c r="DT36" s="39">
        <v>3</v>
      </c>
      <c r="DU36" s="39">
        <v>7</v>
      </c>
      <c r="DV36" s="39">
        <v>1</v>
      </c>
      <c r="DW36" s="39">
        <v>0</v>
      </c>
      <c r="DX36" s="39">
        <v>5</v>
      </c>
      <c r="DY36" s="39">
        <v>1</v>
      </c>
      <c r="DZ36" s="39">
        <v>9</v>
      </c>
      <c r="EA36" s="39">
        <v>0</v>
      </c>
      <c r="EB36" s="39">
        <v>2</v>
      </c>
      <c r="EC36" s="39">
        <v>0</v>
      </c>
      <c r="ED36" s="39">
        <v>1</v>
      </c>
      <c r="EE36" s="39">
        <v>0</v>
      </c>
      <c r="EF36" s="39">
        <v>1</v>
      </c>
      <c r="EG36" s="39">
        <v>7</v>
      </c>
      <c r="EH36" s="39">
        <v>1</v>
      </c>
      <c r="EI36" s="39">
        <v>0</v>
      </c>
      <c r="EJ36" s="39">
        <v>2</v>
      </c>
      <c r="EK36" s="39">
        <v>5</v>
      </c>
      <c r="EL36" s="39">
        <v>1</v>
      </c>
      <c r="EM36" s="39">
        <v>4</v>
      </c>
      <c r="EN36" s="39">
        <v>0</v>
      </c>
      <c r="EO36" s="39">
        <v>18.3</v>
      </c>
      <c r="EP36" s="39"/>
    </row>
    <row r="37" spans="1:146" x14ac:dyDescent="0.25">
      <c r="A37" s="39">
        <v>4125</v>
      </c>
      <c r="B37" s="39" t="s">
        <v>247</v>
      </c>
      <c r="C37" s="39">
        <v>9</v>
      </c>
      <c r="D37" s="39">
        <v>5</v>
      </c>
      <c r="E37" s="39">
        <v>1</v>
      </c>
      <c r="F37" s="39">
        <v>3</v>
      </c>
      <c r="G37" s="39">
        <v>7</v>
      </c>
      <c r="H37" s="39">
        <v>0</v>
      </c>
      <c r="I37" s="39">
        <v>0</v>
      </c>
      <c r="J37" s="39">
        <v>0</v>
      </c>
      <c r="K37" s="39">
        <v>0</v>
      </c>
      <c r="L37" s="39">
        <v>0</v>
      </c>
      <c r="M37" s="39">
        <v>0</v>
      </c>
      <c r="N37" s="39">
        <v>0</v>
      </c>
      <c r="O37" s="39">
        <v>0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>
        <v>0.222</v>
      </c>
      <c r="W37" s="39">
        <v>0</v>
      </c>
      <c r="X37" s="39">
        <v>0</v>
      </c>
      <c r="Y37" s="39">
        <v>0</v>
      </c>
      <c r="Z37" s="39">
        <v>0</v>
      </c>
      <c r="AA37" s="39">
        <v>0</v>
      </c>
      <c r="AB37" s="39">
        <v>0</v>
      </c>
      <c r="AC37" s="39">
        <v>0</v>
      </c>
      <c r="AD37" s="39">
        <v>0</v>
      </c>
      <c r="AE37" s="39">
        <v>0</v>
      </c>
      <c r="AF37" s="39">
        <v>0</v>
      </c>
      <c r="AG37" s="39">
        <v>0</v>
      </c>
      <c r="AH37" s="39">
        <v>55</v>
      </c>
      <c r="AI37" s="39">
        <v>6.1109999999999998</v>
      </c>
      <c r="AJ37" s="39">
        <v>9</v>
      </c>
      <c r="AK37" s="39">
        <v>8</v>
      </c>
      <c r="AL37" s="39">
        <v>0.88900000000000001</v>
      </c>
      <c r="AM37" s="39">
        <v>90</v>
      </c>
      <c r="AN37" s="39">
        <v>2</v>
      </c>
      <c r="AO37" s="39">
        <v>2.222</v>
      </c>
      <c r="AP37" s="39">
        <v>18</v>
      </c>
      <c r="AQ37" s="39">
        <v>20</v>
      </c>
      <c r="AR37" s="39">
        <v>19</v>
      </c>
      <c r="AS37" s="39">
        <v>2.1110000000000002</v>
      </c>
      <c r="AT37" s="39">
        <v>10</v>
      </c>
      <c r="AU37" s="39">
        <v>1.111</v>
      </c>
      <c r="AV37" s="39">
        <v>80</v>
      </c>
      <c r="AW37" s="39">
        <v>0.44400000000000001</v>
      </c>
      <c r="AX37" s="39">
        <v>0.55600000000000005</v>
      </c>
      <c r="AY37" s="39">
        <v>4</v>
      </c>
      <c r="AZ37" s="39">
        <v>5</v>
      </c>
      <c r="BA37" s="39">
        <v>80.769000000000005</v>
      </c>
      <c r="BB37" s="39">
        <v>2.3330000000000002</v>
      </c>
      <c r="BC37" s="39">
        <v>2.8889999999999998</v>
      </c>
      <c r="BD37" s="39">
        <v>21</v>
      </c>
      <c r="BE37" s="39">
        <v>26</v>
      </c>
      <c r="BF37" s="39">
        <v>50</v>
      </c>
      <c r="BG37" s="39">
        <v>0.222</v>
      </c>
      <c r="BH37" s="39">
        <v>0.44400000000000001</v>
      </c>
      <c r="BI37" s="39">
        <v>2</v>
      </c>
      <c r="BJ37" s="39">
        <v>4</v>
      </c>
      <c r="BK37" s="39">
        <v>100</v>
      </c>
      <c r="BL37" s="39">
        <v>0.222</v>
      </c>
      <c r="BM37" s="39">
        <v>0.222</v>
      </c>
      <c r="BN37" s="39">
        <v>2</v>
      </c>
      <c r="BO37" s="39">
        <v>2</v>
      </c>
      <c r="BP37" s="39">
        <v>95.454999999999998</v>
      </c>
      <c r="BQ37" s="39">
        <v>2.3330000000000002</v>
      </c>
      <c r="BR37" s="39">
        <v>2.444</v>
      </c>
      <c r="BS37" s="39">
        <v>21</v>
      </c>
      <c r="BT37" s="39">
        <v>22</v>
      </c>
      <c r="BU37" s="39">
        <v>50</v>
      </c>
      <c r="BV37" s="39">
        <v>5.556</v>
      </c>
      <c r="BW37" s="39">
        <v>10</v>
      </c>
      <c r="BX37" s="39">
        <v>2</v>
      </c>
      <c r="BY37" s="39">
        <v>0.222</v>
      </c>
      <c r="BZ37" s="39">
        <v>0</v>
      </c>
      <c r="CA37" s="39">
        <v>0</v>
      </c>
      <c r="CB37" s="39">
        <v>0</v>
      </c>
      <c r="CC37" s="39">
        <v>11</v>
      </c>
      <c r="CD37" s="39">
        <v>1</v>
      </c>
      <c r="CE37" s="39">
        <v>0</v>
      </c>
      <c r="CF37" s="39">
        <v>0</v>
      </c>
      <c r="CG37" s="39">
        <v>0</v>
      </c>
      <c r="CH37" s="39">
        <v>0</v>
      </c>
      <c r="CI37" s="39">
        <v>0</v>
      </c>
      <c r="CJ37" s="39">
        <v>0</v>
      </c>
      <c r="CK37" s="39">
        <v>0</v>
      </c>
      <c r="CL37" s="39">
        <v>0</v>
      </c>
      <c r="CM37" s="39">
        <v>0</v>
      </c>
      <c r="CN37" s="39">
        <v>0</v>
      </c>
      <c r="CO37" s="39">
        <v>0</v>
      </c>
      <c r="CP37" s="39">
        <v>2</v>
      </c>
      <c r="CQ37" s="39">
        <v>0</v>
      </c>
      <c r="CR37" s="39">
        <v>6</v>
      </c>
      <c r="CS37" s="39">
        <v>0</v>
      </c>
      <c r="CT37" s="39">
        <v>5.8890000000000002</v>
      </c>
      <c r="CU37" s="39">
        <v>0</v>
      </c>
      <c r="CV37" s="39">
        <v>4</v>
      </c>
      <c r="CW37" s="39">
        <v>7.75</v>
      </c>
      <c r="CX37" s="39">
        <v>7</v>
      </c>
      <c r="CY37" s="39">
        <v>0</v>
      </c>
      <c r="CZ37" s="39">
        <v>4</v>
      </c>
      <c r="DA37" s="39">
        <v>7.2</v>
      </c>
      <c r="DB37" s="39">
        <v>0</v>
      </c>
      <c r="DC37" s="39">
        <v>7</v>
      </c>
      <c r="DD37" s="39">
        <v>0</v>
      </c>
      <c r="DE37" s="39">
        <v>4</v>
      </c>
      <c r="DF37" s="39">
        <v>0</v>
      </c>
      <c r="DG37" s="39">
        <v>0</v>
      </c>
      <c r="DH37" s="39">
        <v>1</v>
      </c>
      <c r="DI37" s="39">
        <v>0</v>
      </c>
      <c r="DJ37" s="39">
        <v>18</v>
      </c>
      <c r="DK37" s="39">
        <v>0</v>
      </c>
      <c r="DL37" s="39">
        <v>1</v>
      </c>
      <c r="DM37" s="39">
        <v>3</v>
      </c>
      <c r="DN37" s="39">
        <v>1</v>
      </c>
      <c r="DO37" s="39">
        <v>0</v>
      </c>
      <c r="DP37" s="39">
        <v>1</v>
      </c>
      <c r="DQ37" s="39">
        <v>15</v>
      </c>
      <c r="DR37" s="39">
        <v>0</v>
      </c>
      <c r="DS37" s="39">
        <v>2</v>
      </c>
      <c r="DT37" s="39">
        <v>0</v>
      </c>
      <c r="DU37" s="39">
        <v>1</v>
      </c>
      <c r="DV37" s="39">
        <v>0</v>
      </c>
      <c r="DW37" s="39">
        <v>0</v>
      </c>
      <c r="DX37" s="39">
        <v>1</v>
      </c>
      <c r="DY37" s="39">
        <v>0</v>
      </c>
      <c r="DZ37" s="39">
        <v>8</v>
      </c>
      <c r="EA37" s="39">
        <v>0</v>
      </c>
      <c r="EB37" s="39">
        <v>1</v>
      </c>
      <c r="EC37" s="39">
        <v>2</v>
      </c>
      <c r="ED37" s="39">
        <v>1</v>
      </c>
      <c r="EE37" s="39">
        <v>0</v>
      </c>
      <c r="EF37" s="39">
        <v>1</v>
      </c>
      <c r="EG37" s="39">
        <v>4</v>
      </c>
      <c r="EH37" s="39">
        <v>0</v>
      </c>
      <c r="EI37" s="39">
        <v>2</v>
      </c>
      <c r="EJ37" s="39">
        <v>0</v>
      </c>
      <c r="EK37" s="39">
        <v>1</v>
      </c>
      <c r="EL37" s="39">
        <v>0</v>
      </c>
      <c r="EM37" s="39">
        <v>3.1110000000000002</v>
      </c>
      <c r="EN37" s="39">
        <v>3.6669999999999998</v>
      </c>
      <c r="EO37" s="39">
        <v>11.667</v>
      </c>
      <c r="EP37" s="39"/>
    </row>
    <row r="38" spans="1:146" x14ac:dyDescent="0.25">
      <c r="A38" s="39">
        <v>4270</v>
      </c>
      <c r="B38" s="39" t="s">
        <v>248</v>
      </c>
      <c r="C38" s="39">
        <v>10</v>
      </c>
      <c r="D38" s="39">
        <v>1</v>
      </c>
      <c r="E38" s="39">
        <v>0</v>
      </c>
      <c r="F38" s="39">
        <v>9</v>
      </c>
      <c r="G38" s="39">
        <v>10</v>
      </c>
      <c r="H38" s="39">
        <v>0</v>
      </c>
      <c r="I38" s="39">
        <v>0</v>
      </c>
      <c r="J38" s="39">
        <v>0</v>
      </c>
      <c r="K38" s="39">
        <v>0</v>
      </c>
      <c r="L38" s="39">
        <v>100</v>
      </c>
      <c r="M38" s="39">
        <v>0.4</v>
      </c>
      <c r="N38" s="39">
        <v>0.4</v>
      </c>
      <c r="O38" s="39">
        <v>4</v>
      </c>
      <c r="P38" s="39">
        <v>4</v>
      </c>
      <c r="Q38" s="39">
        <v>0</v>
      </c>
      <c r="R38" s="39">
        <v>0</v>
      </c>
      <c r="S38" s="39">
        <v>0.2</v>
      </c>
      <c r="T38" s="39">
        <v>0</v>
      </c>
      <c r="U38" s="39">
        <v>2</v>
      </c>
      <c r="V38" s="39">
        <v>0.2</v>
      </c>
      <c r="W38" s="39">
        <v>0</v>
      </c>
      <c r="X38" s="39">
        <v>0</v>
      </c>
      <c r="Y38" s="39">
        <v>0</v>
      </c>
      <c r="Z38" s="39">
        <v>0</v>
      </c>
      <c r="AA38" s="39">
        <v>0</v>
      </c>
      <c r="AB38" s="39">
        <v>0.2</v>
      </c>
      <c r="AC38" s="39">
        <v>0</v>
      </c>
      <c r="AD38" s="39">
        <v>0</v>
      </c>
      <c r="AE38" s="39">
        <v>0</v>
      </c>
      <c r="AF38" s="39">
        <v>0</v>
      </c>
      <c r="AG38" s="39">
        <v>0</v>
      </c>
      <c r="AH38" s="39">
        <v>81</v>
      </c>
      <c r="AI38" s="39">
        <v>8.1</v>
      </c>
      <c r="AJ38" s="39">
        <v>12</v>
      </c>
      <c r="AK38" s="39">
        <v>23</v>
      </c>
      <c r="AL38" s="39">
        <v>2.2999999999999998</v>
      </c>
      <c r="AM38" s="39">
        <v>0</v>
      </c>
      <c r="AN38" s="39">
        <v>0</v>
      </c>
      <c r="AO38" s="39">
        <v>0.4</v>
      </c>
      <c r="AP38" s="39">
        <v>0</v>
      </c>
      <c r="AQ38" s="39">
        <v>4</v>
      </c>
      <c r="AR38" s="39">
        <v>44</v>
      </c>
      <c r="AS38" s="39">
        <v>4.4000000000000004</v>
      </c>
      <c r="AT38" s="39">
        <v>14</v>
      </c>
      <c r="AU38" s="39">
        <v>1.4</v>
      </c>
      <c r="AV38" s="39">
        <v>66.667000000000002</v>
      </c>
      <c r="AW38" s="39">
        <v>0.6</v>
      </c>
      <c r="AX38" s="39">
        <v>0.9</v>
      </c>
      <c r="AY38" s="39">
        <v>6</v>
      </c>
      <c r="AZ38" s="39">
        <v>9</v>
      </c>
      <c r="BA38" s="39">
        <v>69.230999999999995</v>
      </c>
      <c r="BB38" s="39">
        <v>0.9</v>
      </c>
      <c r="BC38" s="39">
        <v>1.3</v>
      </c>
      <c r="BD38" s="39">
        <v>9</v>
      </c>
      <c r="BE38" s="39">
        <v>13</v>
      </c>
      <c r="BF38" s="39">
        <v>33.332999999999998</v>
      </c>
      <c r="BG38" s="39">
        <v>0.1</v>
      </c>
      <c r="BH38" s="39">
        <v>0.3</v>
      </c>
      <c r="BI38" s="39">
        <v>1</v>
      </c>
      <c r="BJ38" s="39">
        <v>3</v>
      </c>
      <c r="BK38" s="39">
        <v>50</v>
      </c>
      <c r="BL38" s="39">
        <v>0.2</v>
      </c>
      <c r="BM38" s="39">
        <v>0.4</v>
      </c>
      <c r="BN38" s="39">
        <v>2</v>
      </c>
      <c r="BO38" s="39">
        <v>4</v>
      </c>
      <c r="BP38" s="39">
        <v>94.34</v>
      </c>
      <c r="BQ38" s="39">
        <v>5</v>
      </c>
      <c r="BR38" s="39">
        <v>5.3</v>
      </c>
      <c r="BS38" s="39">
        <v>50</v>
      </c>
      <c r="BT38" s="39">
        <v>53</v>
      </c>
      <c r="BU38" s="39">
        <v>68</v>
      </c>
      <c r="BV38" s="39">
        <v>6.8</v>
      </c>
      <c r="BW38" s="39">
        <v>10</v>
      </c>
      <c r="BX38" s="39">
        <v>2</v>
      </c>
      <c r="BY38" s="39">
        <v>0.2</v>
      </c>
      <c r="BZ38" s="39">
        <v>0</v>
      </c>
      <c r="CA38" s="39">
        <v>0</v>
      </c>
      <c r="CB38" s="39">
        <v>0</v>
      </c>
      <c r="CC38" s="39">
        <v>22</v>
      </c>
      <c r="CD38" s="39">
        <v>1</v>
      </c>
      <c r="CE38" s="39">
        <v>0</v>
      </c>
      <c r="CF38" s="39">
        <v>0</v>
      </c>
      <c r="CG38" s="39">
        <v>0</v>
      </c>
      <c r="CH38" s="39">
        <v>0</v>
      </c>
      <c r="CI38" s="39">
        <v>0</v>
      </c>
      <c r="CJ38" s="39">
        <v>0</v>
      </c>
      <c r="CK38" s="39">
        <v>0</v>
      </c>
      <c r="CL38" s="39">
        <v>0</v>
      </c>
      <c r="CM38" s="39">
        <v>0</v>
      </c>
      <c r="CN38" s="39">
        <v>0</v>
      </c>
      <c r="CO38" s="39">
        <v>0</v>
      </c>
      <c r="CP38" s="39">
        <v>4</v>
      </c>
      <c r="CQ38" s="39">
        <v>0</v>
      </c>
      <c r="CR38" s="39">
        <v>4.3330000000000002</v>
      </c>
      <c r="CS38" s="39">
        <v>0</v>
      </c>
      <c r="CT38" s="39">
        <v>4.32</v>
      </c>
      <c r="CU38" s="39">
        <v>7</v>
      </c>
      <c r="CV38" s="39">
        <v>5</v>
      </c>
      <c r="CW38" s="39">
        <v>4.55</v>
      </c>
      <c r="CX38" s="39">
        <v>9.1669999999999998</v>
      </c>
      <c r="CY38" s="39">
        <v>7</v>
      </c>
      <c r="CZ38" s="39">
        <v>0</v>
      </c>
      <c r="DA38" s="39">
        <v>0</v>
      </c>
      <c r="DB38" s="39">
        <v>0</v>
      </c>
      <c r="DC38" s="39">
        <v>0</v>
      </c>
      <c r="DD38" s="39">
        <v>0</v>
      </c>
      <c r="DE38" s="39">
        <v>5.8339999999999996</v>
      </c>
      <c r="DF38" s="39">
        <v>4.6109999999999998</v>
      </c>
      <c r="DG38" s="39">
        <v>0</v>
      </c>
      <c r="DH38" s="39">
        <v>5</v>
      </c>
      <c r="DI38" s="39">
        <v>0</v>
      </c>
      <c r="DJ38" s="39">
        <v>44</v>
      </c>
      <c r="DK38" s="39">
        <v>1</v>
      </c>
      <c r="DL38" s="39">
        <v>2</v>
      </c>
      <c r="DM38" s="39">
        <v>7</v>
      </c>
      <c r="DN38" s="39">
        <v>4</v>
      </c>
      <c r="DO38" s="39">
        <v>1</v>
      </c>
      <c r="DP38" s="39">
        <v>0</v>
      </c>
      <c r="DQ38" s="39">
        <v>0</v>
      </c>
      <c r="DR38" s="39">
        <v>0</v>
      </c>
      <c r="DS38" s="39">
        <v>0</v>
      </c>
      <c r="DT38" s="39">
        <v>0</v>
      </c>
      <c r="DU38" s="39">
        <v>4</v>
      </c>
      <c r="DV38" s="39">
        <v>8</v>
      </c>
      <c r="DW38" s="39">
        <v>0</v>
      </c>
      <c r="DX38" s="39">
        <v>2</v>
      </c>
      <c r="DY38" s="39">
        <v>0</v>
      </c>
      <c r="DZ38" s="39">
        <v>9</v>
      </c>
      <c r="EA38" s="39">
        <v>1</v>
      </c>
      <c r="EB38" s="39">
        <v>1</v>
      </c>
      <c r="EC38" s="39">
        <v>5</v>
      </c>
      <c r="ED38" s="39">
        <v>2</v>
      </c>
      <c r="EE38" s="39">
        <v>1</v>
      </c>
      <c r="EF38" s="39">
        <v>0</v>
      </c>
      <c r="EG38" s="39">
        <v>0</v>
      </c>
      <c r="EH38" s="39">
        <v>0</v>
      </c>
      <c r="EI38" s="39">
        <v>0</v>
      </c>
      <c r="EJ38" s="39">
        <v>0</v>
      </c>
      <c r="EK38" s="39">
        <v>3</v>
      </c>
      <c r="EL38" s="39">
        <v>3</v>
      </c>
      <c r="EM38" s="39">
        <v>3.3</v>
      </c>
      <c r="EN38" s="39">
        <v>0</v>
      </c>
      <c r="EO38" s="39">
        <v>14.9</v>
      </c>
      <c r="EP38" s="39"/>
    </row>
    <row r="39" spans="1:146" x14ac:dyDescent="0.25">
      <c r="A39" s="39">
        <v>4468</v>
      </c>
      <c r="B39" s="39" t="s">
        <v>249</v>
      </c>
      <c r="C39" s="39">
        <v>10</v>
      </c>
      <c r="D39" s="39">
        <v>6</v>
      </c>
      <c r="E39" s="39">
        <v>2</v>
      </c>
      <c r="F39" s="39">
        <v>2</v>
      </c>
      <c r="G39" s="39">
        <v>9</v>
      </c>
      <c r="H39" s="39">
        <v>0</v>
      </c>
      <c r="I39" s="39">
        <v>0</v>
      </c>
      <c r="J39" s="39">
        <v>0</v>
      </c>
      <c r="K39" s="39">
        <v>0</v>
      </c>
      <c r="L39" s="39">
        <v>100</v>
      </c>
      <c r="M39" s="39">
        <v>0.1</v>
      </c>
      <c r="N39" s="39">
        <v>0.1</v>
      </c>
      <c r="O39" s="39">
        <v>1</v>
      </c>
      <c r="P39" s="39">
        <v>1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>
        <v>0</v>
      </c>
      <c r="W39" s="39">
        <v>0</v>
      </c>
      <c r="X39" s="39">
        <v>0</v>
      </c>
      <c r="Y39" s="39">
        <v>0</v>
      </c>
      <c r="Z39" s="39">
        <v>0</v>
      </c>
      <c r="AA39" s="39">
        <v>0</v>
      </c>
      <c r="AB39" s="39">
        <v>0</v>
      </c>
      <c r="AC39" s="39">
        <v>0</v>
      </c>
      <c r="AD39" s="39">
        <v>0</v>
      </c>
      <c r="AE39" s="39">
        <v>0</v>
      </c>
      <c r="AF39" s="39">
        <v>0</v>
      </c>
      <c r="AG39" s="39">
        <v>0</v>
      </c>
      <c r="AH39" s="39">
        <v>76</v>
      </c>
      <c r="AI39" s="39">
        <v>7.6</v>
      </c>
      <c r="AJ39" s="39">
        <v>10</v>
      </c>
      <c r="AK39" s="39">
        <v>14</v>
      </c>
      <c r="AL39" s="39">
        <v>1.4</v>
      </c>
      <c r="AM39" s="39">
        <v>100</v>
      </c>
      <c r="AN39" s="39">
        <v>0.5</v>
      </c>
      <c r="AO39" s="39">
        <v>0.5</v>
      </c>
      <c r="AP39" s="39">
        <v>5</v>
      </c>
      <c r="AQ39" s="39">
        <v>5</v>
      </c>
      <c r="AR39" s="39">
        <v>50</v>
      </c>
      <c r="AS39" s="39">
        <v>5</v>
      </c>
      <c r="AT39" s="39">
        <v>7</v>
      </c>
      <c r="AU39" s="39">
        <v>0.7</v>
      </c>
      <c r="AV39" s="39">
        <v>100</v>
      </c>
      <c r="AW39" s="39">
        <v>1.4</v>
      </c>
      <c r="AX39" s="39">
        <v>1.4</v>
      </c>
      <c r="AY39" s="39">
        <v>14</v>
      </c>
      <c r="AZ39" s="39">
        <v>14</v>
      </c>
      <c r="BA39" s="39">
        <v>100</v>
      </c>
      <c r="BB39" s="39">
        <v>1.1000000000000001</v>
      </c>
      <c r="BC39" s="39">
        <v>1.1000000000000001</v>
      </c>
      <c r="BD39" s="39">
        <v>11</v>
      </c>
      <c r="BE39" s="39">
        <v>11</v>
      </c>
      <c r="BF39" s="39">
        <v>0</v>
      </c>
      <c r="BG39" s="39">
        <v>0</v>
      </c>
      <c r="BH39" s="39">
        <v>0</v>
      </c>
      <c r="BI39" s="39">
        <v>0</v>
      </c>
      <c r="BJ39" s="39">
        <v>0</v>
      </c>
      <c r="BK39" s="39">
        <v>0</v>
      </c>
      <c r="BL39" s="39">
        <v>0</v>
      </c>
      <c r="BM39" s="39">
        <v>0</v>
      </c>
      <c r="BN39" s="39">
        <v>0</v>
      </c>
      <c r="BO39" s="39">
        <v>0</v>
      </c>
      <c r="BP39" s="39">
        <v>97.959000000000003</v>
      </c>
      <c r="BQ39" s="39">
        <v>4.8</v>
      </c>
      <c r="BR39" s="39">
        <v>4.9000000000000004</v>
      </c>
      <c r="BS39" s="39">
        <v>48</v>
      </c>
      <c r="BT39" s="39">
        <v>49</v>
      </c>
      <c r="BU39" s="39">
        <v>73</v>
      </c>
      <c r="BV39" s="39">
        <v>7.3</v>
      </c>
      <c r="BW39" s="39">
        <v>11</v>
      </c>
      <c r="BX39" s="39">
        <v>6</v>
      </c>
      <c r="BY39" s="39">
        <v>0.6</v>
      </c>
      <c r="BZ39" s="39">
        <v>0</v>
      </c>
      <c r="CA39" s="39">
        <v>0</v>
      </c>
      <c r="CB39" s="39">
        <v>0</v>
      </c>
      <c r="CC39" s="39">
        <v>0</v>
      </c>
      <c r="CD39" s="39">
        <v>0</v>
      </c>
      <c r="CE39" s="39">
        <v>0</v>
      </c>
      <c r="CF39" s="39">
        <v>0</v>
      </c>
      <c r="CG39" s="39">
        <v>0</v>
      </c>
      <c r="CH39" s="39">
        <v>0</v>
      </c>
      <c r="CI39" s="39">
        <v>0</v>
      </c>
      <c r="CJ39" s="39">
        <v>0</v>
      </c>
      <c r="CK39" s="39">
        <v>0</v>
      </c>
      <c r="CL39" s="39">
        <v>0</v>
      </c>
      <c r="CM39" s="39">
        <v>0</v>
      </c>
      <c r="CN39" s="39">
        <v>0</v>
      </c>
      <c r="CO39" s="39">
        <v>0</v>
      </c>
      <c r="CP39" s="39">
        <v>8</v>
      </c>
      <c r="CQ39" s="39">
        <v>0</v>
      </c>
      <c r="CR39" s="39">
        <v>10.667</v>
      </c>
      <c r="CS39" s="39">
        <v>8</v>
      </c>
      <c r="CT39" s="39">
        <v>4.5940000000000003</v>
      </c>
      <c r="CU39" s="39">
        <v>0</v>
      </c>
      <c r="CV39" s="39">
        <v>6.3330000000000002</v>
      </c>
      <c r="CW39" s="39">
        <v>5.4169999999999998</v>
      </c>
      <c r="CX39" s="39">
        <v>7</v>
      </c>
      <c r="CY39" s="39">
        <v>0</v>
      </c>
      <c r="CZ39" s="39">
        <v>4</v>
      </c>
      <c r="DA39" s="39">
        <v>8.5</v>
      </c>
      <c r="DB39" s="39">
        <v>0</v>
      </c>
      <c r="DC39" s="39">
        <v>0</v>
      </c>
      <c r="DD39" s="39">
        <v>5</v>
      </c>
      <c r="DE39" s="39">
        <v>20</v>
      </c>
      <c r="DF39" s="39">
        <v>5.75</v>
      </c>
      <c r="DG39" s="39">
        <v>0</v>
      </c>
      <c r="DH39" s="39">
        <v>6</v>
      </c>
      <c r="DI39" s="39">
        <v>2</v>
      </c>
      <c r="DJ39" s="39">
        <v>40</v>
      </c>
      <c r="DK39" s="39">
        <v>0</v>
      </c>
      <c r="DL39" s="39">
        <v>3</v>
      </c>
      <c r="DM39" s="39">
        <v>6</v>
      </c>
      <c r="DN39" s="39">
        <v>2</v>
      </c>
      <c r="DO39" s="39">
        <v>0</v>
      </c>
      <c r="DP39" s="39">
        <v>1</v>
      </c>
      <c r="DQ39" s="39">
        <v>2</v>
      </c>
      <c r="DR39" s="39">
        <v>0</v>
      </c>
      <c r="DS39" s="39">
        <v>0</v>
      </c>
      <c r="DT39" s="39">
        <v>1</v>
      </c>
      <c r="DU39" s="39">
        <v>1</v>
      </c>
      <c r="DV39" s="39">
        <v>7</v>
      </c>
      <c r="DW39" s="39">
        <v>0</v>
      </c>
      <c r="DX39" s="39">
        <v>4</v>
      </c>
      <c r="DY39" s="39">
        <v>1</v>
      </c>
      <c r="DZ39" s="39">
        <v>10</v>
      </c>
      <c r="EA39" s="39">
        <v>0</v>
      </c>
      <c r="EB39" s="39">
        <v>1</v>
      </c>
      <c r="EC39" s="39">
        <v>4</v>
      </c>
      <c r="ED39" s="39">
        <v>1</v>
      </c>
      <c r="EE39" s="39">
        <v>0</v>
      </c>
      <c r="EF39" s="39">
        <v>1</v>
      </c>
      <c r="EG39" s="39">
        <v>2</v>
      </c>
      <c r="EH39" s="39">
        <v>0</v>
      </c>
      <c r="EI39" s="39">
        <v>0</v>
      </c>
      <c r="EJ39" s="39">
        <v>1</v>
      </c>
      <c r="EK39" s="39">
        <v>1</v>
      </c>
      <c r="EL39" s="39">
        <v>3</v>
      </c>
      <c r="EM39" s="39">
        <v>3.1</v>
      </c>
      <c r="EN39" s="39">
        <v>2</v>
      </c>
      <c r="EO39" s="39">
        <v>14.9</v>
      </c>
      <c r="EP39" s="39"/>
    </row>
    <row r="40" spans="1:146" x14ac:dyDescent="0.25">
      <c r="A40" s="39">
        <v>4513</v>
      </c>
      <c r="B40" s="39" t="s">
        <v>250</v>
      </c>
      <c r="C40" s="39">
        <v>10</v>
      </c>
      <c r="D40" s="39">
        <v>4</v>
      </c>
      <c r="E40" s="39">
        <v>5</v>
      </c>
      <c r="F40" s="39">
        <v>1</v>
      </c>
      <c r="G40" s="39">
        <v>9</v>
      </c>
      <c r="H40" s="39">
        <v>2</v>
      </c>
      <c r="I40" s="39">
        <v>0.2</v>
      </c>
      <c r="J40" s="39">
        <v>1</v>
      </c>
      <c r="K40" s="39">
        <v>0.1</v>
      </c>
      <c r="L40" s="39">
        <v>100</v>
      </c>
      <c r="M40" s="39">
        <v>0.5</v>
      </c>
      <c r="N40" s="39">
        <v>0.5</v>
      </c>
      <c r="O40" s="39">
        <v>5</v>
      </c>
      <c r="P40" s="39">
        <v>5</v>
      </c>
      <c r="Q40" s="39">
        <v>80</v>
      </c>
      <c r="R40" s="39">
        <v>0.4</v>
      </c>
      <c r="S40" s="39">
        <v>0.5</v>
      </c>
      <c r="T40" s="39">
        <v>4</v>
      </c>
      <c r="U40" s="39">
        <v>5</v>
      </c>
      <c r="V40" s="39">
        <v>0.1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66</v>
      </c>
      <c r="AI40" s="39">
        <v>6.6</v>
      </c>
      <c r="AJ40" s="39">
        <v>11</v>
      </c>
      <c r="AK40" s="39">
        <v>11</v>
      </c>
      <c r="AL40" s="39">
        <v>1.1000000000000001</v>
      </c>
      <c r="AM40" s="39">
        <v>0</v>
      </c>
      <c r="AN40" s="39">
        <v>0</v>
      </c>
      <c r="AO40" s="39">
        <v>0</v>
      </c>
      <c r="AP40" s="39">
        <v>0</v>
      </c>
      <c r="AQ40" s="39">
        <v>0</v>
      </c>
      <c r="AR40" s="39">
        <v>30</v>
      </c>
      <c r="AS40" s="39">
        <v>3</v>
      </c>
      <c r="AT40" s="39">
        <v>25</v>
      </c>
      <c r="AU40" s="39">
        <v>2.5</v>
      </c>
      <c r="AV40" s="39">
        <v>86.667000000000002</v>
      </c>
      <c r="AW40" s="39">
        <v>1.3</v>
      </c>
      <c r="AX40" s="39">
        <v>1.5</v>
      </c>
      <c r="AY40" s="39">
        <v>13</v>
      </c>
      <c r="AZ40" s="39">
        <v>15</v>
      </c>
      <c r="BA40" s="39">
        <v>75</v>
      </c>
      <c r="BB40" s="39">
        <v>0.3</v>
      </c>
      <c r="BC40" s="39">
        <v>0.4</v>
      </c>
      <c r="BD40" s="39">
        <v>3</v>
      </c>
      <c r="BE40" s="39">
        <v>4</v>
      </c>
      <c r="BF40" s="39">
        <v>75</v>
      </c>
      <c r="BG40" s="39">
        <v>0.3</v>
      </c>
      <c r="BH40" s="39">
        <v>0.4</v>
      </c>
      <c r="BI40" s="39">
        <v>3</v>
      </c>
      <c r="BJ40" s="39">
        <v>4</v>
      </c>
      <c r="BK40" s="39">
        <v>100</v>
      </c>
      <c r="BL40" s="39">
        <v>1.8</v>
      </c>
      <c r="BM40" s="39">
        <v>1.8</v>
      </c>
      <c r="BN40" s="39">
        <v>18</v>
      </c>
      <c r="BO40" s="39">
        <v>18</v>
      </c>
      <c r="BP40" s="39">
        <v>100</v>
      </c>
      <c r="BQ40" s="39">
        <v>2.6</v>
      </c>
      <c r="BR40" s="39">
        <v>2.6</v>
      </c>
      <c r="BS40" s="39">
        <v>26</v>
      </c>
      <c r="BT40" s="39">
        <v>26</v>
      </c>
      <c r="BU40" s="39">
        <v>63</v>
      </c>
      <c r="BV40" s="39">
        <v>6.3</v>
      </c>
      <c r="BW40" s="39">
        <v>10</v>
      </c>
      <c r="BX40" s="39">
        <v>2</v>
      </c>
      <c r="BY40" s="39">
        <v>0.2</v>
      </c>
      <c r="BZ40" s="39">
        <v>0</v>
      </c>
      <c r="CA40" s="39">
        <v>0</v>
      </c>
      <c r="CB40" s="39">
        <v>0</v>
      </c>
      <c r="CC40" s="39">
        <v>11</v>
      </c>
      <c r="CD40" s="39">
        <v>2</v>
      </c>
      <c r="CE40" s="39">
        <v>0</v>
      </c>
      <c r="CF40" s="39">
        <v>80</v>
      </c>
      <c r="CG40" s="39">
        <v>4</v>
      </c>
      <c r="CH40" s="39">
        <v>5</v>
      </c>
      <c r="CI40" s="39">
        <v>0</v>
      </c>
      <c r="CJ40" s="39">
        <v>0</v>
      </c>
      <c r="CK40" s="39">
        <v>0</v>
      </c>
      <c r="CL40" s="39">
        <v>0</v>
      </c>
      <c r="CM40" s="39">
        <v>0</v>
      </c>
      <c r="CN40" s="39">
        <v>0</v>
      </c>
      <c r="CO40" s="39">
        <v>0</v>
      </c>
      <c r="CP40" s="39">
        <v>5</v>
      </c>
      <c r="CQ40" s="39">
        <v>7.5</v>
      </c>
      <c r="CR40" s="39">
        <v>4</v>
      </c>
      <c r="CS40" s="39">
        <v>0</v>
      </c>
      <c r="CT40" s="39">
        <v>3.8439999999999999</v>
      </c>
      <c r="CU40" s="39">
        <v>6.95</v>
      </c>
      <c r="CV40" s="39">
        <v>8.2219999999999995</v>
      </c>
      <c r="CW40" s="39">
        <v>13.25</v>
      </c>
      <c r="CX40" s="39">
        <v>6</v>
      </c>
      <c r="CY40" s="39">
        <v>0</v>
      </c>
      <c r="CZ40" s="39">
        <v>0</v>
      </c>
      <c r="DA40" s="39">
        <v>0</v>
      </c>
      <c r="DB40" s="39">
        <v>0</v>
      </c>
      <c r="DC40" s="39">
        <v>13.667</v>
      </c>
      <c r="DD40" s="39">
        <v>2</v>
      </c>
      <c r="DE40" s="39">
        <v>0</v>
      </c>
      <c r="DF40" s="39">
        <v>0</v>
      </c>
      <c r="DG40" s="39">
        <v>2</v>
      </c>
      <c r="DH40" s="39">
        <v>4</v>
      </c>
      <c r="DI40" s="39">
        <v>0</v>
      </c>
      <c r="DJ40" s="39">
        <v>17</v>
      </c>
      <c r="DK40" s="39">
        <v>16</v>
      </c>
      <c r="DL40" s="39">
        <v>10</v>
      </c>
      <c r="DM40" s="39">
        <v>3</v>
      </c>
      <c r="DN40" s="39">
        <v>8</v>
      </c>
      <c r="DO40" s="39">
        <v>0</v>
      </c>
      <c r="DP40" s="39">
        <v>0</v>
      </c>
      <c r="DQ40" s="39">
        <v>0</v>
      </c>
      <c r="DR40" s="39">
        <v>0</v>
      </c>
      <c r="DS40" s="39">
        <v>3</v>
      </c>
      <c r="DT40" s="39">
        <v>1</v>
      </c>
      <c r="DU40" s="39">
        <v>0</v>
      </c>
      <c r="DV40" s="39">
        <v>0</v>
      </c>
      <c r="DW40" s="39">
        <v>2</v>
      </c>
      <c r="DX40" s="39">
        <v>2</v>
      </c>
      <c r="DY40" s="39">
        <v>0</v>
      </c>
      <c r="DZ40" s="39">
        <v>8</v>
      </c>
      <c r="EA40" s="39">
        <v>5</v>
      </c>
      <c r="EB40" s="39">
        <v>3</v>
      </c>
      <c r="EC40" s="39">
        <v>2</v>
      </c>
      <c r="ED40" s="39">
        <v>8</v>
      </c>
      <c r="EE40" s="39">
        <v>0</v>
      </c>
      <c r="EF40" s="39">
        <v>0</v>
      </c>
      <c r="EG40" s="39">
        <v>0</v>
      </c>
      <c r="EH40" s="39">
        <v>0</v>
      </c>
      <c r="EI40" s="39">
        <v>1</v>
      </c>
      <c r="EJ40" s="39">
        <v>1</v>
      </c>
      <c r="EK40" s="39">
        <v>0</v>
      </c>
      <c r="EL40" s="39">
        <v>0</v>
      </c>
      <c r="EM40" s="39">
        <v>3.4</v>
      </c>
      <c r="EN40" s="39">
        <v>2</v>
      </c>
      <c r="EO40" s="39">
        <v>12.9</v>
      </c>
      <c r="EP40" s="39"/>
    </row>
    <row r="41" spans="1:146" x14ac:dyDescent="0.25">
      <c r="A41" s="39">
        <v>4576</v>
      </c>
      <c r="B41" s="39" t="s">
        <v>251</v>
      </c>
      <c r="C41" s="39">
        <v>9</v>
      </c>
      <c r="D41" s="39">
        <v>3</v>
      </c>
      <c r="E41" s="39">
        <v>1</v>
      </c>
      <c r="F41" s="39">
        <v>5</v>
      </c>
      <c r="G41" s="39">
        <v>9</v>
      </c>
      <c r="H41" s="39">
        <v>0</v>
      </c>
      <c r="I41" s="39">
        <v>0</v>
      </c>
      <c r="J41" s="39">
        <v>0</v>
      </c>
      <c r="K41" s="39">
        <v>0</v>
      </c>
      <c r="L41" s="39">
        <v>0</v>
      </c>
      <c r="M41" s="39">
        <v>0</v>
      </c>
      <c r="N41" s="39">
        <v>0.111</v>
      </c>
      <c r="O41" s="39">
        <v>0</v>
      </c>
      <c r="P41" s="39">
        <v>1</v>
      </c>
      <c r="Q41" s="39">
        <v>0</v>
      </c>
      <c r="R41" s="39">
        <v>0</v>
      </c>
      <c r="S41" s="39">
        <v>0</v>
      </c>
      <c r="T41" s="39">
        <v>0</v>
      </c>
      <c r="U41" s="39">
        <v>0</v>
      </c>
      <c r="V41" s="39">
        <v>0.222</v>
      </c>
      <c r="W41" s="39">
        <v>0</v>
      </c>
      <c r="X41" s="39">
        <v>0</v>
      </c>
      <c r="Y41" s="39">
        <v>0</v>
      </c>
      <c r="Z41" s="39">
        <v>0</v>
      </c>
      <c r="AA41" s="39">
        <v>0</v>
      </c>
      <c r="AB41" s="39">
        <v>0</v>
      </c>
      <c r="AC41" s="39">
        <v>0</v>
      </c>
      <c r="AD41" s="39">
        <v>0</v>
      </c>
      <c r="AE41" s="39">
        <v>0</v>
      </c>
      <c r="AF41" s="39">
        <v>0</v>
      </c>
      <c r="AG41" s="39">
        <v>0</v>
      </c>
      <c r="AH41" s="39">
        <v>69</v>
      </c>
      <c r="AI41" s="39">
        <v>7.6669999999999998</v>
      </c>
      <c r="AJ41" s="39">
        <v>10</v>
      </c>
      <c r="AK41" s="39">
        <v>13</v>
      </c>
      <c r="AL41" s="39">
        <v>1.444</v>
      </c>
      <c r="AM41" s="39">
        <v>0</v>
      </c>
      <c r="AN41" s="39">
        <v>0</v>
      </c>
      <c r="AO41" s="39">
        <v>0</v>
      </c>
      <c r="AP41" s="39">
        <v>0</v>
      </c>
      <c r="AQ41" s="39">
        <v>0</v>
      </c>
      <c r="AR41" s="39">
        <v>46</v>
      </c>
      <c r="AS41" s="39">
        <v>5.1109999999999998</v>
      </c>
      <c r="AT41" s="39">
        <v>10</v>
      </c>
      <c r="AU41" s="39">
        <v>1.111</v>
      </c>
      <c r="AV41" s="39">
        <v>89.474000000000004</v>
      </c>
      <c r="AW41" s="39">
        <v>1.889</v>
      </c>
      <c r="AX41" s="39">
        <v>2.1110000000000002</v>
      </c>
      <c r="AY41" s="39">
        <v>17</v>
      </c>
      <c r="AZ41" s="39">
        <v>19</v>
      </c>
      <c r="BA41" s="39">
        <v>100</v>
      </c>
      <c r="BB41" s="39">
        <v>0.55600000000000005</v>
      </c>
      <c r="BC41" s="39">
        <v>0.55600000000000005</v>
      </c>
      <c r="BD41" s="39">
        <v>5</v>
      </c>
      <c r="BE41" s="39">
        <v>5</v>
      </c>
      <c r="BF41" s="39">
        <v>71.429000000000002</v>
      </c>
      <c r="BG41" s="39">
        <v>0.55600000000000005</v>
      </c>
      <c r="BH41" s="39">
        <v>0.77800000000000002</v>
      </c>
      <c r="BI41" s="39">
        <v>5</v>
      </c>
      <c r="BJ41" s="39">
        <v>7</v>
      </c>
      <c r="BK41" s="39">
        <v>100</v>
      </c>
      <c r="BL41" s="39">
        <v>0.33300000000000002</v>
      </c>
      <c r="BM41" s="39">
        <v>0.33300000000000002</v>
      </c>
      <c r="BN41" s="39">
        <v>3</v>
      </c>
      <c r="BO41" s="39">
        <v>3</v>
      </c>
      <c r="BP41" s="39">
        <v>100</v>
      </c>
      <c r="BQ41" s="39">
        <v>3.778</v>
      </c>
      <c r="BR41" s="39">
        <v>3.778</v>
      </c>
      <c r="BS41" s="39">
        <v>34</v>
      </c>
      <c r="BT41" s="39">
        <v>34</v>
      </c>
      <c r="BU41" s="39">
        <v>64</v>
      </c>
      <c r="BV41" s="39">
        <v>7.1109999999999998</v>
      </c>
      <c r="BW41" s="39">
        <v>11</v>
      </c>
      <c r="BX41" s="39">
        <v>2</v>
      </c>
      <c r="BY41" s="39">
        <v>0.222</v>
      </c>
      <c r="BZ41" s="39">
        <v>0</v>
      </c>
      <c r="CA41" s="39">
        <v>0</v>
      </c>
      <c r="CB41" s="39">
        <v>0</v>
      </c>
      <c r="CC41" s="39">
        <v>11</v>
      </c>
      <c r="CD41" s="39">
        <v>1</v>
      </c>
      <c r="CE41" s="39">
        <v>0</v>
      </c>
      <c r="CF41" s="39">
        <v>100</v>
      </c>
      <c r="CG41" s="39">
        <v>1</v>
      </c>
      <c r="CH41" s="39">
        <v>1</v>
      </c>
      <c r="CI41" s="39">
        <v>100</v>
      </c>
      <c r="CJ41" s="39">
        <v>1</v>
      </c>
      <c r="CK41" s="39">
        <v>1</v>
      </c>
      <c r="CL41" s="39">
        <v>0</v>
      </c>
      <c r="CM41" s="39">
        <v>0</v>
      </c>
      <c r="CN41" s="39">
        <v>0</v>
      </c>
      <c r="CO41" s="39">
        <v>0</v>
      </c>
      <c r="CP41" s="39">
        <v>3</v>
      </c>
      <c r="CQ41" s="39">
        <v>7</v>
      </c>
      <c r="CR41" s="39">
        <v>8.9329999999999998</v>
      </c>
      <c r="CS41" s="39">
        <v>0</v>
      </c>
      <c r="CT41" s="39">
        <v>4.5789999999999997</v>
      </c>
      <c r="CU41" s="39">
        <v>7</v>
      </c>
      <c r="CV41" s="39">
        <v>5.5</v>
      </c>
      <c r="CW41" s="39">
        <v>0</v>
      </c>
      <c r="CX41" s="39">
        <v>11.667</v>
      </c>
      <c r="CY41" s="39">
        <v>0</v>
      </c>
      <c r="CZ41" s="39">
        <v>0</v>
      </c>
      <c r="DA41" s="39">
        <v>0</v>
      </c>
      <c r="DB41" s="39">
        <v>12</v>
      </c>
      <c r="DC41" s="39">
        <v>2</v>
      </c>
      <c r="DD41" s="39">
        <v>8</v>
      </c>
      <c r="DE41" s="39">
        <v>6.5</v>
      </c>
      <c r="DF41" s="39">
        <v>5.5</v>
      </c>
      <c r="DG41" s="39">
        <v>1</v>
      </c>
      <c r="DH41" s="39">
        <v>10</v>
      </c>
      <c r="DI41" s="39">
        <v>0</v>
      </c>
      <c r="DJ41" s="39">
        <v>33</v>
      </c>
      <c r="DK41" s="39">
        <v>5</v>
      </c>
      <c r="DL41" s="39">
        <v>2</v>
      </c>
      <c r="DM41" s="39">
        <v>0</v>
      </c>
      <c r="DN41" s="39">
        <v>3</v>
      </c>
      <c r="DO41" s="39">
        <v>0</v>
      </c>
      <c r="DP41" s="39">
        <v>0</v>
      </c>
      <c r="DQ41" s="39">
        <v>0</v>
      </c>
      <c r="DR41" s="39">
        <v>1</v>
      </c>
      <c r="DS41" s="39">
        <v>1</v>
      </c>
      <c r="DT41" s="39">
        <v>1</v>
      </c>
      <c r="DU41" s="39">
        <v>5</v>
      </c>
      <c r="DV41" s="39">
        <v>5</v>
      </c>
      <c r="DW41" s="39">
        <v>1</v>
      </c>
      <c r="DX41" s="39">
        <v>4</v>
      </c>
      <c r="DY41" s="39">
        <v>0</v>
      </c>
      <c r="DZ41" s="39">
        <v>9</v>
      </c>
      <c r="EA41" s="39">
        <v>2</v>
      </c>
      <c r="EB41" s="39">
        <v>1</v>
      </c>
      <c r="EC41" s="39">
        <v>0</v>
      </c>
      <c r="ED41" s="39">
        <v>1</v>
      </c>
      <c r="EE41" s="39">
        <v>0</v>
      </c>
      <c r="EF41" s="39">
        <v>0</v>
      </c>
      <c r="EG41" s="39">
        <v>0</v>
      </c>
      <c r="EH41" s="39">
        <v>1</v>
      </c>
      <c r="EI41" s="39">
        <v>1</v>
      </c>
      <c r="EJ41" s="39">
        <v>1</v>
      </c>
      <c r="EK41" s="39">
        <v>4</v>
      </c>
      <c r="EL41" s="39">
        <v>2</v>
      </c>
      <c r="EM41" s="39">
        <v>3.3330000000000002</v>
      </c>
      <c r="EN41" s="39">
        <v>0</v>
      </c>
      <c r="EO41" s="39">
        <v>14.778</v>
      </c>
      <c r="EP41" s="39"/>
    </row>
    <row r="42" spans="1:146" x14ac:dyDescent="0.25">
      <c r="A42" s="39">
        <v>5098</v>
      </c>
      <c r="B42" s="39" t="s">
        <v>252</v>
      </c>
      <c r="C42" s="39">
        <v>10</v>
      </c>
      <c r="D42" s="39">
        <v>7</v>
      </c>
      <c r="E42" s="39">
        <v>0</v>
      </c>
      <c r="F42" s="39">
        <v>3</v>
      </c>
      <c r="G42" s="39">
        <v>10</v>
      </c>
      <c r="H42" s="39">
        <v>0</v>
      </c>
      <c r="I42" s="39">
        <v>0</v>
      </c>
      <c r="J42" s="39">
        <v>0</v>
      </c>
      <c r="K42" s="39">
        <v>0</v>
      </c>
      <c r="L42" s="39">
        <v>0</v>
      </c>
      <c r="M42" s="39">
        <v>0</v>
      </c>
      <c r="N42" s="39">
        <v>0</v>
      </c>
      <c r="O42" s="39">
        <v>0</v>
      </c>
      <c r="P42" s="39">
        <v>0</v>
      </c>
      <c r="Q42" s="39">
        <v>0</v>
      </c>
      <c r="R42" s="39">
        <v>0</v>
      </c>
      <c r="S42" s="39">
        <v>0</v>
      </c>
      <c r="T42" s="39">
        <v>0</v>
      </c>
      <c r="U42" s="39">
        <v>0</v>
      </c>
      <c r="V42" s="39">
        <v>0</v>
      </c>
      <c r="W42" s="39">
        <v>0</v>
      </c>
      <c r="X42" s="39">
        <v>0</v>
      </c>
      <c r="Y42" s="39">
        <v>0</v>
      </c>
      <c r="Z42" s="39">
        <v>0</v>
      </c>
      <c r="AA42" s="39">
        <v>0</v>
      </c>
      <c r="AB42" s="39">
        <v>0.2</v>
      </c>
      <c r="AC42" s="39">
        <v>0</v>
      </c>
      <c r="AD42" s="39">
        <v>0</v>
      </c>
      <c r="AE42" s="39">
        <v>0</v>
      </c>
      <c r="AF42" s="39">
        <v>0</v>
      </c>
      <c r="AG42" s="39">
        <v>0</v>
      </c>
      <c r="AH42" s="39">
        <v>67</v>
      </c>
      <c r="AI42" s="39">
        <v>6.7</v>
      </c>
      <c r="AJ42" s="39">
        <v>10</v>
      </c>
      <c r="AK42" s="39">
        <v>13</v>
      </c>
      <c r="AL42" s="39">
        <v>1.3</v>
      </c>
      <c r="AM42" s="39">
        <v>100</v>
      </c>
      <c r="AN42" s="39">
        <v>0.1</v>
      </c>
      <c r="AO42" s="39">
        <v>0.1</v>
      </c>
      <c r="AP42" s="39">
        <v>1</v>
      </c>
      <c r="AQ42" s="39">
        <v>1</v>
      </c>
      <c r="AR42" s="39">
        <v>51</v>
      </c>
      <c r="AS42" s="39">
        <v>5.0999999999999996</v>
      </c>
      <c r="AT42" s="39">
        <v>2</v>
      </c>
      <c r="AU42" s="39">
        <v>0.2</v>
      </c>
      <c r="AV42" s="39">
        <v>100</v>
      </c>
      <c r="AW42" s="39">
        <v>1.9</v>
      </c>
      <c r="AX42" s="39">
        <v>1.9</v>
      </c>
      <c r="AY42" s="39">
        <v>19</v>
      </c>
      <c r="AZ42" s="39">
        <v>19</v>
      </c>
      <c r="BA42" s="39">
        <v>0</v>
      </c>
      <c r="BB42" s="39">
        <v>0</v>
      </c>
      <c r="BC42" s="39">
        <v>0</v>
      </c>
      <c r="BD42" s="39">
        <v>0</v>
      </c>
      <c r="BE42" s="39">
        <v>0</v>
      </c>
      <c r="BF42" s="39">
        <v>0</v>
      </c>
      <c r="BG42" s="39">
        <v>0</v>
      </c>
      <c r="BH42" s="39">
        <v>0</v>
      </c>
      <c r="BI42" s="39">
        <v>0</v>
      </c>
      <c r="BJ42" s="39">
        <v>0</v>
      </c>
      <c r="BK42" s="39">
        <v>0</v>
      </c>
      <c r="BL42" s="39">
        <v>0</v>
      </c>
      <c r="BM42" s="39">
        <v>0.2</v>
      </c>
      <c r="BN42" s="39">
        <v>0</v>
      </c>
      <c r="BO42" s="39">
        <v>2</v>
      </c>
      <c r="BP42" s="39">
        <v>100</v>
      </c>
      <c r="BQ42" s="39">
        <v>5</v>
      </c>
      <c r="BR42" s="39">
        <v>5</v>
      </c>
      <c r="BS42" s="39">
        <v>50</v>
      </c>
      <c r="BT42" s="39">
        <v>50</v>
      </c>
      <c r="BU42" s="39">
        <v>69</v>
      </c>
      <c r="BV42" s="39">
        <v>6.9</v>
      </c>
      <c r="BW42" s="39">
        <v>10</v>
      </c>
      <c r="BX42" s="39">
        <v>7</v>
      </c>
      <c r="BY42" s="39">
        <v>0.7</v>
      </c>
      <c r="BZ42" s="39">
        <v>0</v>
      </c>
      <c r="CA42" s="39">
        <v>0</v>
      </c>
      <c r="CB42" s="39">
        <v>0</v>
      </c>
      <c r="CC42" s="39">
        <v>0</v>
      </c>
      <c r="CD42" s="39">
        <v>0</v>
      </c>
      <c r="CE42" s="39">
        <v>0</v>
      </c>
      <c r="CF42" s="39">
        <v>0</v>
      </c>
      <c r="CG42" s="39">
        <v>0</v>
      </c>
      <c r="CH42" s="39">
        <v>0</v>
      </c>
      <c r="CI42" s="39">
        <v>0</v>
      </c>
      <c r="CJ42" s="39">
        <v>0</v>
      </c>
      <c r="CK42" s="39">
        <v>0</v>
      </c>
      <c r="CL42" s="39">
        <v>0</v>
      </c>
      <c r="CM42" s="39">
        <v>0</v>
      </c>
      <c r="CN42" s="39">
        <v>0</v>
      </c>
      <c r="CO42" s="39">
        <v>0</v>
      </c>
      <c r="CP42" s="39">
        <v>1</v>
      </c>
      <c r="CQ42" s="39">
        <v>0</v>
      </c>
      <c r="CR42" s="39">
        <v>6.05</v>
      </c>
      <c r="CS42" s="39">
        <v>0</v>
      </c>
      <c r="CT42" s="39">
        <v>5.3479999999999999</v>
      </c>
      <c r="CU42" s="39">
        <v>0</v>
      </c>
      <c r="CV42" s="39">
        <v>7</v>
      </c>
      <c r="CW42" s="39">
        <v>0</v>
      </c>
      <c r="CX42" s="39">
        <v>20</v>
      </c>
      <c r="CY42" s="39">
        <v>0</v>
      </c>
      <c r="CZ42" s="39">
        <v>0</v>
      </c>
      <c r="DA42" s="39">
        <v>0</v>
      </c>
      <c r="DB42" s="39">
        <v>0</v>
      </c>
      <c r="DC42" s="39">
        <v>7</v>
      </c>
      <c r="DD42" s="39">
        <v>8.25</v>
      </c>
      <c r="DE42" s="39">
        <v>0</v>
      </c>
      <c r="DF42" s="39">
        <v>5.9669999999999996</v>
      </c>
      <c r="DG42" s="39">
        <v>0</v>
      </c>
      <c r="DH42" s="39">
        <v>12</v>
      </c>
      <c r="DI42" s="39">
        <v>0</v>
      </c>
      <c r="DJ42" s="39">
        <v>31</v>
      </c>
      <c r="DK42" s="39">
        <v>0</v>
      </c>
      <c r="DL42" s="39">
        <v>1</v>
      </c>
      <c r="DM42" s="39">
        <v>0</v>
      </c>
      <c r="DN42" s="39">
        <v>2</v>
      </c>
      <c r="DO42" s="39">
        <v>0</v>
      </c>
      <c r="DP42" s="39">
        <v>0</v>
      </c>
      <c r="DQ42" s="39">
        <v>0</v>
      </c>
      <c r="DR42" s="39">
        <v>0</v>
      </c>
      <c r="DS42" s="39">
        <v>1</v>
      </c>
      <c r="DT42" s="39">
        <v>3</v>
      </c>
      <c r="DU42" s="39">
        <v>0</v>
      </c>
      <c r="DV42" s="39">
        <v>10</v>
      </c>
      <c r="DW42" s="39">
        <v>0</v>
      </c>
      <c r="DX42" s="39">
        <v>4</v>
      </c>
      <c r="DY42" s="39">
        <v>0</v>
      </c>
      <c r="DZ42" s="39">
        <v>8</v>
      </c>
      <c r="EA42" s="39">
        <v>0</v>
      </c>
      <c r="EB42" s="39">
        <v>1</v>
      </c>
      <c r="EC42" s="39">
        <v>0</v>
      </c>
      <c r="ED42" s="39">
        <v>1</v>
      </c>
      <c r="EE42" s="39">
        <v>0</v>
      </c>
      <c r="EF42" s="39">
        <v>0</v>
      </c>
      <c r="EG42" s="39">
        <v>0</v>
      </c>
      <c r="EH42" s="39">
        <v>0</v>
      </c>
      <c r="EI42" s="39">
        <v>1</v>
      </c>
      <c r="EJ42" s="39">
        <v>2</v>
      </c>
      <c r="EK42" s="39">
        <v>0</v>
      </c>
      <c r="EL42" s="39">
        <v>4</v>
      </c>
      <c r="EM42" s="39">
        <v>2.9</v>
      </c>
      <c r="EN42" s="39">
        <v>1</v>
      </c>
      <c r="EO42" s="39">
        <v>13.6</v>
      </c>
      <c r="EP42" s="39"/>
    </row>
    <row r="43" spans="1:146" x14ac:dyDescent="0.25">
      <c r="A43" s="39">
        <v>5104</v>
      </c>
      <c r="B43" s="39" t="s">
        <v>253</v>
      </c>
      <c r="C43" s="39">
        <v>10</v>
      </c>
      <c r="D43" s="39">
        <v>5</v>
      </c>
      <c r="E43" s="39">
        <v>4</v>
      </c>
      <c r="F43" s="39">
        <v>1</v>
      </c>
      <c r="G43" s="39">
        <v>10</v>
      </c>
      <c r="H43" s="39">
        <v>0</v>
      </c>
      <c r="I43" s="39">
        <v>0</v>
      </c>
      <c r="J43" s="39">
        <v>0</v>
      </c>
      <c r="K43" s="39">
        <v>0</v>
      </c>
      <c r="L43" s="39">
        <v>66.667000000000002</v>
      </c>
      <c r="M43" s="39">
        <v>0.2</v>
      </c>
      <c r="N43" s="39">
        <v>0.3</v>
      </c>
      <c r="O43" s="39">
        <v>2</v>
      </c>
      <c r="P43" s="39">
        <v>3</v>
      </c>
      <c r="Q43" s="39">
        <v>0</v>
      </c>
      <c r="R43" s="39">
        <v>0</v>
      </c>
      <c r="S43" s="39">
        <v>0</v>
      </c>
      <c r="T43" s="39">
        <v>0</v>
      </c>
      <c r="U43" s="39">
        <v>0</v>
      </c>
      <c r="V43" s="39">
        <v>0</v>
      </c>
      <c r="W43" s="39">
        <v>0</v>
      </c>
      <c r="X43" s="39">
        <v>0</v>
      </c>
      <c r="Y43" s="39">
        <v>0</v>
      </c>
      <c r="Z43" s="39">
        <v>0</v>
      </c>
      <c r="AA43" s="39">
        <v>0</v>
      </c>
      <c r="AB43" s="39">
        <v>0.2</v>
      </c>
      <c r="AC43" s="39">
        <v>0</v>
      </c>
      <c r="AD43" s="39">
        <v>0</v>
      </c>
      <c r="AE43" s="39">
        <v>0</v>
      </c>
      <c r="AF43" s="39">
        <v>0</v>
      </c>
      <c r="AG43" s="39">
        <v>0</v>
      </c>
      <c r="AH43" s="39">
        <v>56</v>
      </c>
      <c r="AI43" s="39">
        <v>5.6</v>
      </c>
      <c r="AJ43" s="39">
        <v>8</v>
      </c>
      <c r="AK43" s="39">
        <v>11</v>
      </c>
      <c r="AL43" s="39">
        <v>1.1000000000000001</v>
      </c>
      <c r="AM43" s="39">
        <v>100</v>
      </c>
      <c r="AN43" s="39">
        <v>0.4</v>
      </c>
      <c r="AO43" s="39">
        <v>0.4</v>
      </c>
      <c r="AP43" s="39">
        <v>4</v>
      </c>
      <c r="AQ43" s="39">
        <v>4</v>
      </c>
      <c r="AR43" s="39">
        <v>28</v>
      </c>
      <c r="AS43" s="39">
        <v>2.8</v>
      </c>
      <c r="AT43" s="39">
        <v>13</v>
      </c>
      <c r="AU43" s="39">
        <v>1.3</v>
      </c>
      <c r="AV43" s="39">
        <v>92.856999999999999</v>
      </c>
      <c r="AW43" s="39">
        <v>1.3</v>
      </c>
      <c r="AX43" s="39">
        <v>1.4</v>
      </c>
      <c r="AY43" s="39">
        <v>13</v>
      </c>
      <c r="AZ43" s="39">
        <v>14</v>
      </c>
      <c r="BA43" s="39">
        <v>84.614999999999995</v>
      </c>
      <c r="BB43" s="39">
        <v>1.1000000000000001</v>
      </c>
      <c r="BC43" s="39">
        <v>1.3</v>
      </c>
      <c r="BD43" s="39">
        <v>11</v>
      </c>
      <c r="BE43" s="39">
        <v>13</v>
      </c>
      <c r="BF43" s="39">
        <v>100</v>
      </c>
      <c r="BG43" s="39">
        <v>0.1</v>
      </c>
      <c r="BH43" s="39">
        <v>0.1</v>
      </c>
      <c r="BI43" s="39">
        <v>1</v>
      </c>
      <c r="BJ43" s="39">
        <v>1</v>
      </c>
      <c r="BK43" s="39">
        <v>66.667000000000002</v>
      </c>
      <c r="BL43" s="39">
        <v>0.4</v>
      </c>
      <c r="BM43" s="39">
        <v>0.6</v>
      </c>
      <c r="BN43" s="39">
        <v>4</v>
      </c>
      <c r="BO43" s="39">
        <v>6</v>
      </c>
      <c r="BP43" s="39">
        <v>95.832999999999998</v>
      </c>
      <c r="BQ43" s="39">
        <v>2.2999999999999998</v>
      </c>
      <c r="BR43" s="39">
        <v>2.4</v>
      </c>
      <c r="BS43" s="39">
        <v>23</v>
      </c>
      <c r="BT43" s="39">
        <v>24</v>
      </c>
      <c r="BU43" s="39">
        <v>52</v>
      </c>
      <c r="BV43" s="39">
        <v>5.2</v>
      </c>
      <c r="BW43" s="39">
        <v>8</v>
      </c>
      <c r="BX43" s="39">
        <v>3</v>
      </c>
      <c r="BY43" s="39">
        <v>0.3</v>
      </c>
      <c r="BZ43" s="39">
        <v>0</v>
      </c>
      <c r="CA43" s="39">
        <v>0</v>
      </c>
      <c r="CB43" s="39">
        <v>0</v>
      </c>
      <c r="CC43" s="39">
        <v>0</v>
      </c>
      <c r="CD43" s="39">
        <v>0</v>
      </c>
      <c r="CE43" s="39">
        <v>0</v>
      </c>
      <c r="CF43" s="39">
        <v>0</v>
      </c>
      <c r="CG43" s="39">
        <v>0</v>
      </c>
      <c r="CH43" s="39">
        <v>1</v>
      </c>
      <c r="CI43" s="39">
        <v>0</v>
      </c>
      <c r="CJ43" s="39">
        <v>0</v>
      </c>
      <c r="CK43" s="39">
        <v>0</v>
      </c>
      <c r="CL43" s="39">
        <v>0</v>
      </c>
      <c r="CM43" s="39">
        <v>0</v>
      </c>
      <c r="CN43" s="39">
        <v>0</v>
      </c>
      <c r="CO43" s="39">
        <v>0</v>
      </c>
      <c r="CP43" s="39">
        <v>1</v>
      </c>
      <c r="CQ43" s="39">
        <v>0</v>
      </c>
      <c r="CR43" s="39">
        <v>8</v>
      </c>
      <c r="CS43" s="39">
        <v>0</v>
      </c>
      <c r="CT43" s="39">
        <v>6.242</v>
      </c>
      <c r="CU43" s="39">
        <v>7</v>
      </c>
      <c r="CV43" s="39">
        <v>5.4749999999999996</v>
      </c>
      <c r="CW43" s="39">
        <v>8.25</v>
      </c>
      <c r="CX43" s="39">
        <v>0</v>
      </c>
      <c r="CY43" s="39">
        <v>0</v>
      </c>
      <c r="CZ43" s="39">
        <v>0</v>
      </c>
      <c r="DA43" s="39">
        <v>6.25</v>
      </c>
      <c r="DB43" s="39">
        <v>0</v>
      </c>
      <c r="DC43" s="39">
        <v>14</v>
      </c>
      <c r="DD43" s="39">
        <v>3.75</v>
      </c>
      <c r="DE43" s="39">
        <v>9</v>
      </c>
      <c r="DF43" s="39">
        <v>0</v>
      </c>
      <c r="DG43" s="39">
        <v>0</v>
      </c>
      <c r="DH43" s="39">
        <v>1</v>
      </c>
      <c r="DI43" s="39">
        <v>0</v>
      </c>
      <c r="DJ43" s="39">
        <v>18</v>
      </c>
      <c r="DK43" s="39">
        <v>2</v>
      </c>
      <c r="DL43" s="39">
        <v>10</v>
      </c>
      <c r="DM43" s="39">
        <v>6</v>
      </c>
      <c r="DN43" s="39">
        <v>0</v>
      </c>
      <c r="DO43" s="39">
        <v>0</v>
      </c>
      <c r="DP43" s="39">
        <v>0</v>
      </c>
      <c r="DQ43" s="39">
        <v>3</v>
      </c>
      <c r="DR43" s="39">
        <v>0</v>
      </c>
      <c r="DS43" s="39">
        <v>2</v>
      </c>
      <c r="DT43" s="39">
        <v>3</v>
      </c>
      <c r="DU43" s="39">
        <v>3</v>
      </c>
      <c r="DV43" s="39">
        <v>0</v>
      </c>
      <c r="DW43" s="39">
        <v>0</v>
      </c>
      <c r="DX43" s="39">
        <v>1</v>
      </c>
      <c r="DY43" s="39">
        <v>0</v>
      </c>
      <c r="DZ43" s="39">
        <v>6</v>
      </c>
      <c r="EA43" s="39">
        <v>1</v>
      </c>
      <c r="EB43" s="39">
        <v>5</v>
      </c>
      <c r="EC43" s="39">
        <v>2</v>
      </c>
      <c r="ED43" s="39">
        <v>0</v>
      </c>
      <c r="EE43" s="39">
        <v>0</v>
      </c>
      <c r="EF43" s="39">
        <v>0</v>
      </c>
      <c r="EG43" s="39">
        <v>2</v>
      </c>
      <c r="EH43" s="39">
        <v>0</v>
      </c>
      <c r="EI43" s="39">
        <v>2</v>
      </c>
      <c r="EJ43" s="39">
        <v>2</v>
      </c>
      <c r="EK43" s="39">
        <v>2</v>
      </c>
      <c r="EL43" s="39">
        <v>0</v>
      </c>
      <c r="EM43" s="39">
        <v>2.8</v>
      </c>
      <c r="EN43" s="39">
        <v>0</v>
      </c>
      <c r="EO43" s="39">
        <v>10.8</v>
      </c>
      <c r="EP43" s="39"/>
    </row>
    <row r="44" spans="1:146" x14ac:dyDescent="0.25">
      <c r="A44" s="39">
        <v>5199</v>
      </c>
      <c r="B44" s="39" t="s">
        <v>254</v>
      </c>
      <c r="C44" s="39">
        <v>10</v>
      </c>
      <c r="D44" s="39">
        <v>3</v>
      </c>
      <c r="E44" s="39">
        <v>6</v>
      </c>
      <c r="F44" s="39">
        <v>1</v>
      </c>
      <c r="G44" s="39">
        <v>10</v>
      </c>
      <c r="H44" s="39">
        <v>0</v>
      </c>
      <c r="I44" s="39">
        <v>0</v>
      </c>
      <c r="J44" s="39">
        <v>0</v>
      </c>
      <c r="K44" s="39">
        <v>0</v>
      </c>
      <c r="L44" s="39">
        <v>100</v>
      </c>
      <c r="M44" s="39">
        <v>0.7</v>
      </c>
      <c r="N44" s="39">
        <v>0.7</v>
      </c>
      <c r="O44" s="39">
        <v>7</v>
      </c>
      <c r="P44" s="39">
        <v>7</v>
      </c>
      <c r="Q44" s="39">
        <v>33.332999999999998</v>
      </c>
      <c r="R44" s="39">
        <v>0.1</v>
      </c>
      <c r="S44" s="39">
        <v>0.3</v>
      </c>
      <c r="T44" s="39">
        <v>1</v>
      </c>
      <c r="U44" s="39">
        <v>3</v>
      </c>
      <c r="V44" s="39">
        <v>0.3</v>
      </c>
      <c r="W44" s="39">
        <v>0</v>
      </c>
      <c r="X44" s="39">
        <v>0</v>
      </c>
      <c r="Y44" s="39">
        <v>0</v>
      </c>
      <c r="Z44" s="39">
        <v>0</v>
      </c>
      <c r="AA44" s="39">
        <v>0</v>
      </c>
      <c r="AB44" s="39">
        <v>0.5</v>
      </c>
      <c r="AC44" s="39">
        <v>0</v>
      </c>
      <c r="AD44" s="39">
        <v>0</v>
      </c>
      <c r="AE44" s="39">
        <v>0</v>
      </c>
      <c r="AF44" s="39">
        <v>0</v>
      </c>
      <c r="AG44" s="39">
        <v>0</v>
      </c>
      <c r="AH44" s="39">
        <v>63</v>
      </c>
      <c r="AI44" s="39">
        <v>6.3</v>
      </c>
      <c r="AJ44" s="39">
        <v>9</v>
      </c>
      <c r="AK44" s="39">
        <v>25</v>
      </c>
      <c r="AL44" s="39">
        <v>2.5</v>
      </c>
      <c r="AM44" s="39">
        <v>100</v>
      </c>
      <c r="AN44" s="39">
        <v>1.1000000000000001</v>
      </c>
      <c r="AO44" s="39">
        <v>1.1000000000000001</v>
      </c>
      <c r="AP44" s="39">
        <v>11</v>
      </c>
      <c r="AQ44" s="39">
        <v>11</v>
      </c>
      <c r="AR44" s="39">
        <v>14</v>
      </c>
      <c r="AS44" s="39">
        <v>1.4</v>
      </c>
      <c r="AT44" s="39">
        <v>13</v>
      </c>
      <c r="AU44" s="39">
        <v>1.3</v>
      </c>
      <c r="AV44" s="39">
        <v>100</v>
      </c>
      <c r="AW44" s="39">
        <v>0.5</v>
      </c>
      <c r="AX44" s="39">
        <v>0.5</v>
      </c>
      <c r="AY44" s="39">
        <v>5</v>
      </c>
      <c r="AZ44" s="39">
        <v>5</v>
      </c>
      <c r="BA44" s="39">
        <v>83.332999999999998</v>
      </c>
      <c r="BB44" s="39">
        <v>1.5</v>
      </c>
      <c r="BC44" s="39">
        <v>1.8</v>
      </c>
      <c r="BD44" s="39">
        <v>15</v>
      </c>
      <c r="BE44" s="39">
        <v>18</v>
      </c>
      <c r="BF44" s="39">
        <v>85</v>
      </c>
      <c r="BG44" s="39">
        <v>1.7</v>
      </c>
      <c r="BH44" s="39">
        <v>2</v>
      </c>
      <c r="BI44" s="39">
        <v>17</v>
      </c>
      <c r="BJ44" s="39">
        <v>20</v>
      </c>
      <c r="BK44" s="39">
        <v>80</v>
      </c>
      <c r="BL44" s="39">
        <v>2</v>
      </c>
      <c r="BM44" s="39">
        <v>2.5</v>
      </c>
      <c r="BN44" s="39">
        <v>20</v>
      </c>
      <c r="BO44" s="39">
        <v>25</v>
      </c>
      <c r="BP44" s="39">
        <v>100</v>
      </c>
      <c r="BQ44" s="39">
        <v>0.1</v>
      </c>
      <c r="BR44" s="39">
        <v>0.1</v>
      </c>
      <c r="BS44" s="39">
        <v>1</v>
      </c>
      <c r="BT44" s="39">
        <v>1</v>
      </c>
      <c r="BU44" s="39">
        <v>58</v>
      </c>
      <c r="BV44" s="39">
        <v>5.8</v>
      </c>
      <c r="BW44" s="39">
        <v>8</v>
      </c>
      <c r="BX44" s="39">
        <v>0</v>
      </c>
      <c r="BY44" s="39">
        <v>0</v>
      </c>
      <c r="BZ44" s="39">
        <v>0</v>
      </c>
      <c r="CA44" s="39">
        <v>0</v>
      </c>
      <c r="CB44" s="39">
        <v>0</v>
      </c>
      <c r="CC44" s="39">
        <v>22</v>
      </c>
      <c r="CD44" s="39">
        <v>1</v>
      </c>
      <c r="CE44" s="39">
        <v>0</v>
      </c>
      <c r="CF44" s="39">
        <v>100</v>
      </c>
      <c r="CG44" s="39">
        <v>5</v>
      </c>
      <c r="CH44" s="39">
        <v>5</v>
      </c>
      <c r="CI44" s="39">
        <v>0</v>
      </c>
      <c r="CJ44" s="39">
        <v>0</v>
      </c>
      <c r="CK44" s="39">
        <v>0</v>
      </c>
      <c r="CL44" s="39">
        <v>0</v>
      </c>
      <c r="CM44" s="39">
        <v>0</v>
      </c>
      <c r="CN44" s="39">
        <v>0</v>
      </c>
      <c r="CO44" s="39">
        <v>0</v>
      </c>
      <c r="CP44" s="39">
        <v>1</v>
      </c>
      <c r="CQ44" s="39">
        <v>11.063000000000001</v>
      </c>
      <c r="CR44" s="39">
        <v>5.25</v>
      </c>
      <c r="CS44" s="39">
        <v>0</v>
      </c>
      <c r="CT44" s="39">
        <v>0</v>
      </c>
      <c r="CU44" s="39">
        <v>7.9820000000000002</v>
      </c>
      <c r="CV44" s="39">
        <v>0</v>
      </c>
      <c r="CW44" s="39">
        <v>6</v>
      </c>
      <c r="CX44" s="39">
        <v>0</v>
      </c>
      <c r="CY44" s="39">
        <v>10</v>
      </c>
      <c r="CZ44" s="39">
        <v>6</v>
      </c>
      <c r="DA44" s="39">
        <v>6.5</v>
      </c>
      <c r="DB44" s="39">
        <v>0</v>
      </c>
      <c r="DC44" s="39">
        <v>8.2219999999999995</v>
      </c>
      <c r="DD44" s="39">
        <v>0</v>
      </c>
      <c r="DE44" s="39">
        <v>4.5</v>
      </c>
      <c r="DF44" s="39">
        <v>10</v>
      </c>
      <c r="DG44" s="39">
        <v>9</v>
      </c>
      <c r="DH44" s="39">
        <v>3</v>
      </c>
      <c r="DI44" s="39">
        <v>0</v>
      </c>
      <c r="DJ44" s="39">
        <v>0</v>
      </c>
      <c r="DK44" s="39">
        <v>19</v>
      </c>
      <c r="DL44" s="39">
        <v>0</v>
      </c>
      <c r="DM44" s="39">
        <v>1</v>
      </c>
      <c r="DN44" s="39">
        <v>0</v>
      </c>
      <c r="DO44" s="39">
        <v>2</v>
      </c>
      <c r="DP44" s="39">
        <v>1</v>
      </c>
      <c r="DQ44" s="39">
        <v>5</v>
      </c>
      <c r="DR44" s="39">
        <v>0</v>
      </c>
      <c r="DS44" s="39">
        <v>14</v>
      </c>
      <c r="DT44" s="39">
        <v>0</v>
      </c>
      <c r="DU44" s="39">
        <v>11</v>
      </c>
      <c r="DV44" s="39">
        <v>1</v>
      </c>
      <c r="DW44" s="39">
        <v>2</v>
      </c>
      <c r="DX44" s="39">
        <v>2</v>
      </c>
      <c r="DY44" s="39">
        <v>0</v>
      </c>
      <c r="DZ44" s="39">
        <v>0</v>
      </c>
      <c r="EA44" s="39">
        <v>4</v>
      </c>
      <c r="EB44" s="39">
        <v>0</v>
      </c>
      <c r="EC44" s="39">
        <v>1</v>
      </c>
      <c r="ED44" s="39">
        <v>0</v>
      </c>
      <c r="EE44" s="39">
        <v>2</v>
      </c>
      <c r="EF44" s="39">
        <v>1</v>
      </c>
      <c r="EG44" s="39">
        <v>2</v>
      </c>
      <c r="EH44" s="39">
        <v>0</v>
      </c>
      <c r="EI44" s="39">
        <v>4</v>
      </c>
      <c r="EJ44" s="39">
        <v>0</v>
      </c>
      <c r="EK44" s="39">
        <v>5</v>
      </c>
      <c r="EL44" s="39">
        <v>1</v>
      </c>
      <c r="EM44" s="39">
        <v>3.6</v>
      </c>
      <c r="EN44" s="39">
        <v>0</v>
      </c>
      <c r="EO44" s="39">
        <v>12.1</v>
      </c>
      <c r="EP44" s="39"/>
    </row>
    <row r="45" spans="1:146" x14ac:dyDescent="0.25">
      <c r="A45" s="39">
        <v>5554</v>
      </c>
      <c r="B45" s="39" t="s">
        <v>255</v>
      </c>
      <c r="C45" s="39">
        <v>10</v>
      </c>
      <c r="D45" s="39">
        <v>4</v>
      </c>
      <c r="E45" s="39">
        <v>2</v>
      </c>
      <c r="F45" s="39">
        <v>4</v>
      </c>
      <c r="G45" s="39">
        <v>10</v>
      </c>
      <c r="H45" s="39">
        <v>0</v>
      </c>
      <c r="I45" s="39">
        <v>0</v>
      </c>
      <c r="J45" s="39">
        <v>2</v>
      </c>
      <c r="K45" s="39">
        <v>0.2</v>
      </c>
      <c r="L45" s="39">
        <v>75</v>
      </c>
      <c r="M45" s="39">
        <v>0.3</v>
      </c>
      <c r="N45" s="39">
        <v>0.4</v>
      </c>
      <c r="O45" s="39">
        <v>3</v>
      </c>
      <c r="P45" s="39">
        <v>4</v>
      </c>
      <c r="Q45" s="39">
        <v>66.667000000000002</v>
      </c>
      <c r="R45" s="39">
        <v>0.4</v>
      </c>
      <c r="S45" s="39">
        <v>0.6</v>
      </c>
      <c r="T45" s="39">
        <v>4</v>
      </c>
      <c r="U45" s="39">
        <v>6</v>
      </c>
      <c r="V45" s="39">
        <v>0.4</v>
      </c>
      <c r="W45" s="39">
        <v>0</v>
      </c>
      <c r="X45" s="39">
        <v>0</v>
      </c>
      <c r="Y45" s="39">
        <v>0</v>
      </c>
      <c r="Z45" s="39">
        <v>0</v>
      </c>
      <c r="AA45" s="39">
        <v>0</v>
      </c>
      <c r="AB45" s="39">
        <v>0.2</v>
      </c>
      <c r="AC45" s="39">
        <v>0</v>
      </c>
      <c r="AD45" s="39">
        <v>0</v>
      </c>
      <c r="AE45" s="39">
        <v>0</v>
      </c>
      <c r="AF45" s="39">
        <v>0</v>
      </c>
      <c r="AG45" s="39">
        <v>0</v>
      </c>
      <c r="AH45" s="39">
        <v>76</v>
      </c>
      <c r="AI45" s="39">
        <v>7.6</v>
      </c>
      <c r="AJ45" s="39">
        <v>13</v>
      </c>
      <c r="AK45" s="39">
        <v>19</v>
      </c>
      <c r="AL45" s="39">
        <v>1.9</v>
      </c>
      <c r="AM45" s="39">
        <v>100</v>
      </c>
      <c r="AN45" s="39">
        <v>0.5</v>
      </c>
      <c r="AO45" s="39">
        <v>0.5</v>
      </c>
      <c r="AP45" s="39">
        <v>5</v>
      </c>
      <c r="AQ45" s="39">
        <v>5</v>
      </c>
      <c r="AR45" s="39">
        <v>21</v>
      </c>
      <c r="AS45" s="39">
        <v>2.1</v>
      </c>
      <c r="AT45" s="39">
        <v>31</v>
      </c>
      <c r="AU45" s="39">
        <v>3.1</v>
      </c>
      <c r="AV45" s="39">
        <v>100</v>
      </c>
      <c r="AW45" s="39">
        <v>0.5</v>
      </c>
      <c r="AX45" s="39">
        <v>0.5</v>
      </c>
      <c r="AY45" s="39">
        <v>5</v>
      </c>
      <c r="AZ45" s="39">
        <v>5</v>
      </c>
      <c r="BA45" s="39">
        <v>83.332999999999998</v>
      </c>
      <c r="BB45" s="39">
        <v>0.5</v>
      </c>
      <c r="BC45" s="39">
        <v>0.6</v>
      </c>
      <c r="BD45" s="39">
        <v>5</v>
      </c>
      <c r="BE45" s="39">
        <v>6</v>
      </c>
      <c r="BF45" s="39">
        <v>83.332999999999998</v>
      </c>
      <c r="BG45" s="39">
        <v>2</v>
      </c>
      <c r="BH45" s="39">
        <v>2.4</v>
      </c>
      <c r="BI45" s="39">
        <v>20</v>
      </c>
      <c r="BJ45" s="39">
        <v>24</v>
      </c>
      <c r="BK45" s="39">
        <v>91.304000000000002</v>
      </c>
      <c r="BL45" s="39">
        <v>2.1</v>
      </c>
      <c r="BM45" s="39">
        <v>2.2999999999999998</v>
      </c>
      <c r="BN45" s="39">
        <v>21</v>
      </c>
      <c r="BO45" s="39">
        <v>23</v>
      </c>
      <c r="BP45" s="39">
        <v>100</v>
      </c>
      <c r="BQ45" s="39">
        <v>1.6</v>
      </c>
      <c r="BR45" s="39">
        <v>1.6</v>
      </c>
      <c r="BS45" s="39">
        <v>16</v>
      </c>
      <c r="BT45" s="39">
        <v>16</v>
      </c>
      <c r="BU45" s="39">
        <v>67</v>
      </c>
      <c r="BV45" s="39">
        <v>6.7</v>
      </c>
      <c r="BW45" s="39">
        <v>12</v>
      </c>
      <c r="BX45" s="39">
        <v>1</v>
      </c>
      <c r="BY45" s="39">
        <v>0.1</v>
      </c>
      <c r="BZ45" s="39">
        <v>0</v>
      </c>
      <c r="CA45" s="39">
        <v>0</v>
      </c>
      <c r="CB45" s="39">
        <v>0</v>
      </c>
      <c r="CC45" s="39">
        <v>22</v>
      </c>
      <c r="CD45" s="39">
        <v>2</v>
      </c>
      <c r="CE45" s="39">
        <v>0</v>
      </c>
      <c r="CF45" s="39">
        <v>100</v>
      </c>
      <c r="CG45" s="39">
        <v>7</v>
      </c>
      <c r="CH45" s="39">
        <v>7</v>
      </c>
      <c r="CI45" s="39">
        <v>0</v>
      </c>
      <c r="CJ45" s="39">
        <v>0</v>
      </c>
      <c r="CK45" s="39">
        <v>0</v>
      </c>
      <c r="CL45" s="39">
        <v>0</v>
      </c>
      <c r="CM45" s="39">
        <v>0</v>
      </c>
      <c r="CN45" s="39">
        <v>0</v>
      </c>
      <c r="CO45" s="39">
        <v>0</v>
      </c>
      <c r="CP45" s="39">
        <v>0</v>
      </c>
      <c r="CQ45" s="39">
        <v>8.5559999999999992</v>
      </c>
      <c r="CR45" s="39">
        <v>4</v>
      </c>
      <c r="CS45" s="39">
        <v>0</v>
      </c>
      <c r="CT45" s="39">
        <v>7.2750000000000004</v>
      </c>
      <c r="CU45" s="39">
        <v>6.5209999999999999</v>
      </c>
      <c r="CV45" s="39">
        <v>7.5</v>
      </c>
      <c r="CW45" s="39">
        <v>8.25</v>
      </c>
      <c r="CX45" s="39">
        <v>14</v>
      </c>
      <c r="CY45" s="39">
        <v>9</v>
      </c>
      <c r="CZ45" s="39">
        <v>0</v>
      </c>
      <c r="DA45" s="39">
        <v>6</v>
      </c>
      <c r="DB45" s="39">
        <v>12</v>
      </c>
      <c r="DC45" s="39">
        <v>6</v>
      </c>
      <c r="DD45" s="39">
        <v>2</v>
      </c>
      <c r="DE45" s="39">
        <v>6.5</v>
      </c>
      <c r="DF45" s="39">
        <v>6</v>
      </c>
      <c r="DG45" s="39">
        <v>6</v>
      </c>
      <c r="DH45" s="39">
        <v>1</v>
      </c>
      <c r="DI45" s="39">
        <v>0</v>
      </c>
      <c r="DJ45" s="39">
        <v>12</v>
      </c>
      <c r="DK45" s="39">
        <v>25</v>
      </c>
      <c r="DL45" s="39">
        <v>3</v>
      </c>
      <c r="DM45" s="39">
        <v>3</v>
      </c>
      <c r="DN45" s="39">
        <v>1</v>
      </c>
      <c r="DO45" s="39">
        <v>1</v>
      </c>
      <c r="DP45" s="39">
        <v>0</v>
      </c>
      <c r="DQ45" s="39">
        <v>3</v>
      </c>
      <c r="DR45" s="39">
        <v>1</v>
      </c>
      <c r="DS45" s="39">
        <v>15</v>
      </c>
      <c r="DT45" s="39">
        <v>2</v>
      </c>
      <c r="DU45" s="39">
        <v>2</v>
      </c>
      <c r="DV45" s="39">
        <v>2</v>
      </c>
      <c r="DW45" s="39">
        <v>3</v>
      </c>
      <c r="DX45" s="39">
        <v>1</v>
      </c>
      <c r="DY45" s="39">
        <v>0</v>
      </c>
      <c r="DZ45" s="39">
        <v>5</v>
      </c>
      <c r="EA45" s="39">
        <v>4</v>
      </c>
      <c r="EB45" s="39">
        <v>2</v>
      </c>
      <c r="EC45" s="39">
        <v>2</v>
      </c>
      <c r="ED45" s="39">
        <v>1</v>
      </c>
      <c r="EE45" s="39">
        <v>1</v>
      </c>
      <c r="EF45" s="39">
        <v>0</v>
      </c>
      <c r="EG45" s="39">
        <v>2</v>
      </c>
      <c r="EH45" s="39">
        <v>1</v>
      </c>
      <c r="EI45" s="39">
        <v>8</v>
      </c>
      <c r="EJ45" s="39">
        <v>1</v>
      </c>
      <c r="EK45" s="39">
        <v>2</v>
      </c>
      <c r="EL45" s="39">
        <v>2</v>
      </c>
      <c r="EM45" s="39">
        <v>3.3</v>
      </c>
      <c r="EN45" s="39">
        <v>0</v>
      </c>
      <c r="EO45" s="39">
        <v>14.3</v>
      </c>
      <c r="EP45" s="39"/>
    </row>
    <row r="46" spans="1:146" x14ac:dyDescent="0.25">
      <c r="A46" s="39">
        <v>5654</v>
      </c>
      <c r="B46" s="39" t="s">
        <v>256</v>
      </c>
      <c r="C46" s="39">
        <v>10</v>
      </c>
      <c r="D46" s="39">
        <v>2</v>
      </c>
      <c r="E46" s="39">
        <v>6</v>
      </c>
      <c r="F46" s="39">
        <v>2</v>
      </c>
      <c r="G46" s="39">
        <v>10</v>
      </c>
      <c r="H46" s="39">
        <v>0</v>
      </c>
      <c r="I46" s="39">
        <v>0</v>
      </c>
      <c r="J46" s="39">
        <v>0</v>
      </c>
      <c r="K46" s="39">
        <v>0</v>
      </c>
      <c r="L46" s="39">
        <v>50</v>
      </c>
      <c r="M46" s="39">
        <v>0.4</v>
      </c>
      <c r="N46" s="39">
        <v>0.8</v>
      </c>
      <c r="O46" s="39">
        <v>4</v>
      </c>
      <c r="P46" s="39">
        <v>8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9">
        <v>0</v>
      </c>
      <c r="AB46" s="39">
        <v>0</v>
      </c>
      <c r="AC46" s="39">
        <v>0</v>
      </c>
      <c r="AD46" s="39">
        <v>0</v>
      </c>
      <c r="AE46" s="39">
        <v>0</v>
      </c>
      <c r="AF46" s="39">
        <v>0</v>
      </c>
      <c r="AG46" s="39">
        <v>0</v>
      </c>
      <c r="AH46" s="39">
        <v>108</v>
      </c>
      <c r="AI46" s="39">
        <v>10.8</v>
      </c>
      <c r="AJ46" s="39">
        <v>16</v>
      </c>
      <c r="AK46" s="39">
        <v>13</v>
      </c>
      <c r="AL46" s="39">
        <v>1.3</v>
      </c>
      <c r="AM46" s="39">
        <v>0</v>
      </c>
      <c r="AN46" s="39">
        <v>0</v>
      </c>
      <c r="AO46" s="39">
        <v>0</v>
      </c>
      <c r="AP46" s="39">
        <v>0</v>
      </c>
      <c r="AQ46" s="39">
        <v>0</v>
      </c>
      <c r="AR46" s="39">
        <v>86</v>
      </c>
      <c r="AS46" s="39">
        <v>8.6</v>
      </c>
      <c r="AT46" s="39">
        <v>9</v>
      </c>
      <c r="AU46" s="39">
        <v>0.9</v>
      </c>
      <c r="AV46" s="39">
        <v>96.153999999999996</v>
      </c>
      <c r="AW46" s="39">
        <v>2.5</v>
      </c>
      <c r="AX46" s="39">
        <v>2.6</v>
      </c>
      <c r="AY46" s="39">
        <v>25</v>
      </c>
      <c r="AZ46" s="39">
        <v>26</v>
      </c>
      <c r="BA46" s="39">
        <v>0</v>
      </c>
      <c r="BB46" s="39">
        <v>0</v>
      </c>
      <c r="BC46" s="39">
        <v>0</v>
      </c>
      <c r="BD46" s="39">
        <v>0</v>
      </c>
      <c r="BE46" s="39">
        <v>0</v>
      </c>
      <c r="BF46" s="39">
        <v>0</v>
      </c>
      <c r="BG46" s="39">
        <v>0</v>
      </c>
      <c r="BH46" s="39">
        <v>0</v>
      </c>
      <c r="BI46" s="39">
        <v>0</v>
      </c>
      <c r="BJ46" s="39">
        <v>0</v>
      </c>
      <c r="BK46" s="39">
        <v>0</v>
      </c>
      <c r="BL46" s="39">
        <v>0</v>
      </c>
      <c r="BM46" s="39">
        <v>0</v>
      </c>
      <c r="BN46" s="39">
        <v>0</v>
      </c>
      <c r="BO46" s="39">
        <v>0</v>
      </c>
      <c r="BP46" s="39">
        <v>98.75</v>
      </c>
      <c r="BQ46" s="39">
        <v>7.9</v>
      </c>
      <c r="BR46" s="39">
        <v>8</v>
      </c>
      <c r="BS46" s="39">
        <v>79</v>
      </c>
      <c r="BT46" s="39">
        <v>80</v>
      </c>
      <c r="BU46" s="39">
        <v>104</v>
      </c>
      <c r="BV46" s="39">
        <v>10.4</v>
      </c>
      <c r="BW46" s="39">
        <v>13</v>
      </c>
      <c r="BX46" s="39">
        <v>5</v>
      </c>
      <c r="BY46" s="39">
        <v>0.5</v>
      </c>
      <c r="BZ46" s="39">
        <v>0</v>
      </c>
      <c r="CA46" s="39">
        <v>0</v>
      </c>
      <c r="CB46" s="39">
        <v>0</v>
      </c>
      <c r="CC46" s="39">
        <v>1</v>
      </c>
      <c r="CD46" s="39">
        <v>1</v>
      </c>
      <c r="CE46" s="39">
        <v>0</v>
      </c>
      <c r="CF46" s="39">
        <v>100</v>
      </c>
      <c r="CG46" s="39">
        <v>4</v>
      </c>
      <c r="CH46" s="39">
        <v>4</v>
      </c>
      <c r="CI46" s="39">
        <v>0</v>
      </c>
      <c r="CJ46" s="39">
        <v>0</v>
      </c>
      <c r="CK46" s="39">
        <v>0</v>
      </c>
      <c r="CL46" s="39">
        <v>0</v>
      </c>
      <c r="CM46" s="39">
        <v>0</v>
      </c>
      <c r="CN46" s="39">
        <v>0</v>
      </c>
      <c r="CO46" s="39">
        <v>0</v>
      </c>
      <c r="CP46" s="39">
        <v>1</v>
      </c>
      <c r="CQ46" s="39">
        <v>0</v>
      </c>
      <c r="CR46" s="39">
        <v>3.976</v>
      </c>
      <c r="CS46" s="39">
        <v>0</v>
      </c>
      <c r="CT46" s="39">
        <v>5.1749999999999998</v>
      </c>
      <c r="CU46" s="39">
        <v>0</v>
      </c>
      <c r="CV46" s="39">
        <v>8.6999999999999993</v>
      </c>
      <c r="CW46" s="39">
        <v>0</v>
      </c>
      <c r="CX46" s="39">
        <v>10.5</v>
      </c>
      <c r="CY46" s="39">
        <v>0</v>
      </c>
      <c r="CZ46" s="39">
        <v>0</v>
      </c>
      <c r="DA46" s="39">
        <v>0</v>
      </c>
      <c r="DB46" s="39">
        <v>0</v>
      </c>
      <c r="DC46" s="39">
        <v>0</v>
      </c>
      <c r="DD46" s="39">
        <v>0</v>
      </c>
      <c r="DE46" s="39">
        <v>0</v>
      </c>
      <c r="DF46" s="39">
        <v>3.5</v>
      </c>
      <c r="DG46" s="39">
        <v>0</v>
      </c>
      <c r="DH46" s="39">
        <v>16</v>
      </c>
      <c r="DI46" s="39">
        <v>0</v>
      </c>
      <c r="DJ46" s="39">
        <v>74</v>
      </c>
      <c r="DK46" s="39">
        <v>0</v>
      </c>
      <c r="DL46" s="39">
        <v>7</v>
      </c>
      <c r="DM46" s="39">
        <v>0</v>
      </c>
      <c r="DN46" s="39">
        <v>2</v>
      </c>
      <c r="DO46" s="39">
        <v>0</v>
      </c>
      <c r="DP46" s="39">
        <v>0</v>
      </c>
      <c r="DQ46" s="39">
        <v>0</v>
      </c>
      <c r="DR46" s="39">
        <v>0</v>
      </c>
      <c r="DS46" s="39">
        <v>0</v>
      </c>
      <c r="DT46" s="39">
        <v>0</v>
      </c>
      <c r="DU46" s="39">
        <v>0</v>
      </c>
      <c r="DV46" s="39">
        <v>2</v>
      </c>
      <c r="DW46" s="39">
        <v>0</v>
      </c>
      <c r="DX46" s="39">
        <v>4</v>
      </c>
      <c r="DY46" s="39">
        <v>0</v>
      </c>
      <c r="DZ46" s="39">
        <v>10</v>
      </c>
      <c r="EA46" s="39">
        <v>0</v>
      </c>
      <c r="EB46" s="39">
        <v>2</v>
      </c>
      <c r="EC46" s="39">
        <v>0</v>
      </c>
      <c r="ED46" s="39">
        <v>1</v>
      </c>
      <c r="EE46" s="39">
        <v>0</v>
      </c>
      <c r="EF46" s="39">
        <v>0</v>
      </c>
      <c r="EG46" s="39">
        <v>0</v>
      </c>
      <c r="EH46" s="39">
        <v>0</v>
      </c>
      <c r="EI46" s="39">
        <v>0</v>
      </c>
      <c r="EJ46" s="39">
        <v>0</v>
      </c>
      <c r="EK46" s="39">
        <v>0</v>
      </c>
      <c r="EL46" s="39">
        <v>2</v>
      </c>
      <c r="EM46" s="39">
        <v>3.4</v>
      </c>
      <c r="EN46" s="39">
        <v>0</v>
      </c>
      <c r="EO46" s="39">
        <v>21.2</v>
      </c>
      <c r="EP46" s="39"/>
    </row>
    <row r="47" spans="1:146" x14ac:dyDescent="0.25">
      <c r="A47" s="39">
        <v>5663</v>
      </c>
      <c r="B47" s="39" t="s">
        <v>257</v>
      </c>
      <c r="C47" s="39">
        <v>9</v>
      </c>
      <c r="D47" s="39">
        <v>4</v>
      </c>
      <c r="E47" s="39">
        <v>4</v>
      </c>
      <c r="F47" s="39">
        <v>1</v>
      </c>
      <c r="G47" s="39">
        <v>9</v>
      </c>
      <c r="H47" s="39">
        <v>4</v>
      </c>
      <c r="I47" s="39">
        <v>0.44400000000000001</v>
      </c>
      <c r="J47" s="39">
        <v>0</v>
      </c>
      <c r="K47" s="39">
        <v>0</v>
      </c>
      <c r="L47" s="39">
        <v>79.92</v>
      </c>
      <c r="M47" s="39">
        <v>0.44400000000000001</v>
      </c>
      <c r="N47" s="39">
        <v>0.55600000000000005</v>
      </c>
      <c r="O47" s="39">
        <v>4</v>
      </c>
      <c r="P47" s="39">
        <v>5</v>
      </c>
      <c r="Q47" s="39">
        <v>100</v>
      </c>
      <c r="R47" s="39">
        <v>0.111</v>
      </c>
      <c r="S47" s="39">
        <v>0.111</v>
      </c>
      <c r="T47" s="39">
        <v>1</v>
      </c>
      <c r="U47" s="39">
        <v>1</v>
      </c>
      <c r="V47" s="39">
        <v>0.111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39">
        <v>0.77800000000000002</v>
      </c>
      <c r="AC47" s="39">
        <v>0</v>
      </c>
      <c r="AD47" s="39">
        <v>0</v>
      </c>
      <c r="AE47" s="39">
        <v>0</v>
      </c>
      <c r="AF47" s="39">
        <v>0</v>
      </c>
      <c r="AG47" s="39">
        <v>0</v>
      </c>
      <c r="AH47" s="39">
        <v>49</v>
      </c>
      <c r="AI47" s="39">
        <v>5.444</v>
      </c>
      <c r="AJ47" s="39">
        <v>8</v>
      </c>
      <c r="AK47" s="39">
        <v>18</v>
      </c>
      <c r="AL47" s="39">
        <v>2</v>
      </c>
      <c r="AM47" s="39">
        <v>100</v>
      </c>
      <c r="AN47" s="39">
        <v>0.111</v>
      </c>
      <c r="AO47" s="39">
        <v>0.111</v>
      </c>
      <c r="AP47" s="39">
        <v>1</v>
      </c>
      <c r="AQ47" s="39">
        <v>1</v>
      </c>
      <c r="AR47" s="39">
        <v>10</v>
      </c>
      <c r="AS47" s="39">
        <v>1.111</v>
      </c>
      <c r="AT47" s="39">
        <v>20</v>
      </c>
      <c r="AU47" s="39">
        <v>2.222</v>
      </c>
      <c r="AV47" s="39">
        <v>88.234999999999999</v>
      </c>
      <c r="AW47" s="39">
        <v>1.667</v>
      </c>
      <c r="AX47" s="39">
        <v>1.889</v>
      </c>
      <c r="AY47" s="39">
        <v>15</v>
      </c>
      <c r="AZ47" s="39">
        <v>17</v>
      </c>
      <c r="BA47" s="39">
        <v>100</v>
      </c>
      <c r="BB47" s="39">
        <v>0.222</v>
      </c>
      <c r="BC47" s="39">
        <v>0.222</v>
      </c>
      <c r="BD47" s="39">
        <v>2</v>
      </c>
      <c r="BE47" s="39">
        <v>2</v>
      </c>
      <c r="BF47" s="39">
        <v>80</v>
      </c>
      <c r="BG47" s="39">
        <v>0.44400000000000001</v>
      </c>
      <c r="BH47" s="39">
        <v>0.55600000000000005</v>
      </c>
      <c r="BI47" s="39">
        <v>4</v>
      </c>
      <c r="BJ47" s="39">
        <v>5</v>
      </c>
      <c r="BK47" s="39">
        <v>70.832999999999998</v>
      </c>
      <c r="BL47" s="39">
        <v>1.889</v>
      </c>
      <c r="BM47" s="39">
        <v>2.6669999999999998</v>
      </c>
      <c r="BN47" s="39">
        <v>17</v>
      </c>
      <c r="BO47" s="39">
        <v>24</v>
      </c>
      <c r="BP47" s="39">
        <v>100</v>
      </c>
      <c r="BQ47" s="39">
        <v>0.33300000000000002</v>
      </c>
      <c r="BR47" s="39">
        <v>0.33300000000000002</v>
      </c>
      <c r="BS47" s="39">
        <v>3</v>
      </c>
      <c r="BT47" s="39">
        <v>3</v>
      </c>
      <c r="BU47" s="39">
        <v>41</v>
      </c>
      <c r="BV47" s="39">
        <v>4.556</v>
      </c>
      <c r="BW47" s="39">
        <v>8</v>
      </c>
      <c r="BX47" s="39">
        <v>2</v>
      </c>
      <c r="BY47" s="39">
        <v>0.222</v>
      </c>
      <c r="BZ47" s="39">
        <v>0</v>
      </c>
      <c r="CA47" s="39">
        <v>0</v>
      </c>
      <c r="CB47" s="39">
        <v>0</v>
      </c>
      <c r="CC47" s="39">
        <v>22</v>
      </c>
      <c r="CD47" s="39">
        <v>1</v>
      </c>
      <c r="CE47" s="39">
        <v>0</v>
      </c>
      <c r="CF47" s="39">
        <v>0</v>
      </c>
      <c r="CG47" s="39">
        <v>0</v>
      </c>
      <c r="CH47" s="39">
        <v>0</v>
      </c>
      <c r="CI47" s="39">
        <v>0</v>
      </c>
      <c r="CJ47" s="39">
        <v>0</v>
      </c>
      <c r="CK47" s="39">
        <v>0</v>
      </c>
      <c r="CL47" s="39">
        <v>0</v>
      </c>
      <c r="CM47" s="39">
        <v>0</v>
      </c>
      <c r="CN47" s="39">
        <v>0</v>
      </c>
      <c r="CO47" s="39">
        <v>0</v>
      </c>
      <c r="CP47" s="39">
        <v>5</v>
      </c>
      <c r="CQ47" s="39">
        <v>0</v>
      </c>
      <c r="CR47" s="39">
        <v>23.067</v>
      </c>
      <c r="CS47" s="39">
        <v>0</v>
      </c>
      <c r="CT47" s="39">
        <v>7.6669999999999998</v>
      </c>
      <c r="CU47" s="39">
        <v>5.625</v>
      </c>
      <c r="CV47" s="39">
        <v>7.7089999999999996</v>
      </c>
      <c r="CW47" s="39">
        <v>0</v>
      </c>
      <c r="CX47" s="39">
        <v>0</v>
      </c>
      <c r="CY47" s="39">
        <v>8</v>
      </c>
      <c r="CZ47" s="39">
        <v>0</v>
      </c>
      <c r="DA47" s="39">
        <v>20</v>
      </c>
      <c r="DB47" s="39">
        <v>0</v>
      </c>
      <c r="DC47" s="39">
        <v>7.2779999999999996</v>
      </c>
      <c r="DD47" s="39">
        <v>4.3330000000000002</v>
      </c>
      <c r="DE47" s="39">
        <v>5</v>
      </c>
      <c r="DF47" s="39">
        <v>0</v>
      </c>
      <c r="DG47" s="39">
        <v>0</v>
      </c>
      <c r="DH47" s="39">
        <v>8</v>
      </c>
      <c r="DI47" s="39">
        <v>0</v>
      </c>
      <c r="DJ47" s="39">
        <v>3</v>
      </c>
      <c r="DK47" s="39">
        <v>5</v>
      </c>
      <c r="DL47" s="39">
        <v>11</v>
      </c>
      <c r="DM47" s="39">
        <v>0</v>
      </c>
      <c r="DN47" s="39">
        <v>0</v>
      </c>
      <c r="DO47" s="39">
        <v>1</v>
      </c>
      <c r="DP47" s="39">
        <v>0</v>
      </c>
      <c r="DQ47" s="39">
        <v>1</v>
      </c>
      <c r="DR47" s="39">
        <v>0</v>
      </c>
      <c r="DS47" s="39">
        <v>9</v>
      </c>
      <c r="DT47" s="39">
        <v>6</v>
      </c>
      <c r="DU47" s="39">
        <v>1</v>
      </c>
      <c r="DV47" s="39">
        <v>0</v>
      </c>
      <c r="DW47" s="39">
        <v>0</v>
      </c>
      <c r="DX47" s="39">
        <v>5</v>
      </c>
      <c r="DY47" s="39">
        <v>0</v>
      </c>
      <c r="DZ47" s="39">
        <v>3</v>
      </c>
      <c r="EA47" s="39">
        <v>4</v>
      </c>
      <c r="EB47" s="39">
        <v>4</v>
      </c>
      <c r="EC47" s="39">
        <v>0</v>
      </c>
      <c r="ED47" s="39">
        <v>0</v>
      </c>
      <c r="EE47" s="39">
        <v>1</v>
      </c>
      <c r="EF47" s="39">
        <v>0</v>
      </c>
      <c r="EG47" s="39">
        <v>1</v>
      </c>
      <c r="EH47" s="39">
        <v>0</v>
      </c>
      <c r="EI47" s="39">
        <v>6</v>
      </c>
      <c r="EJ47" s="39">
        <v>4</v>
      </c>
      <c r="EK47" s="39">
        <v>1</v>
      </c>
      <c r="EL47" s="39">
        <v>0</v>
      </c>
      <c r="EM47" s="39">
        <v>2.778</v>
      </c>
      <c r="EN47" s="39">
        <v>0</v>
      </c>
      <c r="EO47" s="39">
        <v>10</v>
      </c>
      <c r="EP47" s="39"/>
    </row>
    <row r="48" spans="1:146" x14ac:dyDescent="0.25">
      <c r="A48" s="39">
        <v>5700</v>
      </c>
      <c r="B48" s="39" t="s">
        <v>258</v>
      </c>
      <c r="C48" s="39">
        <v>10</v>
      </c>
      <c r="D48" s="39">
        <v>6</v>
      </c>
      <c r="E48" s="39">
        <v>2</v>
      </c>
      <c r="F48" s="39">
        <v>0</v>
      </c>
      <c r="G48" s="39">
        <v>4</v>
      </c>
      <c r="H48" s="39">
        <v>0</v>
      </c>
      <c r="I48" s="39">
        <v>0</v>
      </c>
      <c r="J48" s="39">
        <v>0</v>
      </c>
      <c r="K48" s="39">
        <v>0</v>
      </c>
      <c r="L48" s="39">
        <v>50</v>
      </c>
      <c r="M48" s="39">
        <v>0.1</v>
      </c>
      <c r="N48" s="39">
        <v>0.2</v>
      </c>
      <c r="O48" s="39">
        <v>1</v>
      </c>
      <c r="P48" s="39">
        <v>2</v>
      </c>
      <c r="Q48" s="39">
        <v>100</v>
      </c>
      <c r="R48" s="39">
        <v>0.1</v>
      </c>
      <c r="S48" s="39">
        <v>0.1</v>
      </c>
      <c r="T48" s="39">
        <v>1</v>
      </c>
      <c r="U48" s="39">
        <v>1</v>
      </c>
      <c r="V48" s="39">
        <v>0.2</v>
      </c>
      <c r="W48" s="39">
        <v>0</v>
      </c>
      <c r="X48" s="39">
        <v>0</v>
      </c>
      <c r="Y48" s="39">
        <v>0</v>
      </c>
      <c r="Z48" s="39">
        <v>0</v>
      </c>
      <c r="AA48" s="39">
        <v>0</v>
      </c>
      <c r="AB48" s="39">
        <v>0.1</v>
      </c>
      <c r="AC48" s="39">
        <v>0</v>
      </c>
      <c r="AD48" s="39">
        <v>0</v>
      </c>
      <c r="AE48" s="39">
        <v>0</v>
      </c>
      <c r="AF48" s="39">
        <v>0</v>
      </c>
      <c r="AG48" s="39">
        <v>0</v>
      </c>
      <c r="AH48" s="39">
        <v>38</v>
      </c>
      <c r="AI48" s="39">
        <v>3.8</v>
      </c>
      <c r="AJ48" s="39">
        <v>8</v>
      </c>
      <c r="AK48" s="39">
        <v>9</v>
      </c>
      <c r="AL48" s="39">
        <v>0.9</v>
      </c>
      <c r="AM48" s="39">
        <v>90.909000000000006</v>
      </c>
      <c r="AN48" s="39">
        <v>1</v>
      </c>
      <c r="AO48" s="39">
        <v>1.1000000000000001</v>
      </c>
      <c r="AP48" s="39">
        <v>10</v>
      </c>
      <c r="AQ48" s="39">
        <v>11</v>
      </c>
      <c r="AR48" s="39">
        <v>8</v>
      </c>
      <c r="AS48" s="39">
        <v>0.8</v>
      </c>
      <c r="AT48" s="39">
        <v>11</v>
      </c>
      <c r="AU48" s="39">
        <v>1.1000000000000001</v>
      </c>
      <c r="AV48" s="39">
        <v>75</v>
      </c>
      <c r="AW48" s="39">
        <v>0.3</v>
      </c>
      <c r="AX48" s="39">
        <v>0.4</v>
      </c>
      <c r="AY48" s="39">
        <v>3</v>
      </c>
      <c r="AZ48" s="39">
        <v>4</v>
      </c>
      <c r="BA48" s="39">
        <v>80</v>
      </c>
      <c r="BB48" s="39">
        <v>0.8</v>
      </c>
      <c r="BC48" s="39">
        <v>1</v>
      </c>
      <c r="BD48" s="39">
        <v>8</v>
      </c>
      <c r="BE48" s="39">
        <v>10</v>
      </c>
      <c r="BF48" s="39">
        <v>66.667000000000002</v>
      </c>
      <c r="BG48" s="39">
        <v>0.4</v>
      </c>
      <c r="BH48" s="39">
        <v>0.6</v>
      </c>
      <c r="BI48" s="39">
        <v>4</v>
      </c>
      <c r="BJ48" s="39">
        <v>6</v>
      </c>
      <c r="BK48" s="39">
        <v>75</v>
      </c>
      <c r="BL48" s="39">
        <v>0.3</v>
      </c>
      <c r="BM48" s="39">
        <v>0.4</v>
      </c>
      <c r="BN48" s="39">
        <v>3</v>
      </c>
      <c r="BO48" s="39">
        <v>4</v>
      </c>
      <c r="BP48" s="39">
        <v>100</v>
      </c>
      <c r="BQ48" s="39">
        <v>0.7</v>
      </c>
      <c r="BR48" s="39">
        <v>0.7</v>
      </c>
      <c r="BS48" s="39">
        <v>7</v>
      </c>
      <c r="BT48" s="39">
        <v>7</v>
      </c>
      <c r="BU48" s="39">
        <v>25</v>
      </c>
      <c r="BV48" s="39">
        <v>2.5</v>
      </c>
      <c r="BW48" s="39">
        <v>7</v>
      </c>
      <c r="BX48" s="39">
        <v>6</v>
      </c>
      <c r="BY48" s="39">
        <v>0.6</v>
      </c>
      <c r="BZ48" s="39">
        <v>0</v>
      </c>
      <c r="CA48" s="39">
        <v>0</v>
      </c>
      <c r="CB48" s="39">
        <v>0</v>
      </c>
      <c r="CC48" s="39">
        <v>22</v>
      </c>
      <c r="CD48" s="39">
        <v>1</v>
      </c>
      <c r="CE48" s="39">
        <v>0</v>
      </c>
      <c r="CF48" s="39">
        <v>100</v>
      </c>
      <c r="CG48" s="39">
        <v>5</v>
      </c>
      <c r="CH48" s="39">
        <v>5</v>
      </c>
      <c r="CI48" s="39">
        <v>0</v>
      </c>
      <c r="CJ48" s="39">
        <v>0</v>
      </c>
      <c r="CK48" s="39">
        <v>0</v>
      </c>
      <c r="CL48" s="39">
        <v>0</v>
      </c>
      <c r="CM48" s="39">
        <v>0</v>
      </c>
      <c r="CN48" s="39">
        <v>0</v>
      </c>
      <c r="CO48" s="39">
        <v>0</v>
      </c>
      <c r="CP48" s="39">
        <v>0</v>
      </c>
      <c r="CQ48" s="39">
        <v>0</v>
      </c>
      <c r="CR48" s="39">
        <v>0</v>
      </c>
      <c r="CS48" s="39">
        <v>0</v>
      </c>
      <c r="CT48" s="39">
        <v>7.2</v>
      </c>
      <c r="CU48" s="39">
        <v>10.667</v>
      </c>
      <c r="CV48" s="39">
        <v>15</v>
      </c>
      <c r="CW48" s="39">
        <v>6.5</v>
      </c>
      <c r="CX48" s="39">
        <v>0</v>
      </c>
      <c r="CY48" s="39">
        <v>16</v>
      </c>
      <c r="CZ48" s="39">
        <v>0</v>
      </c>
      <c r="DA48" s="39">
        <v>6.1669999999999998</v>
      </c>
      <c r="DB48" s="39">
        <v>0</v>
      </c>
      <c r="DC48" s="39">
        <v>0</v>
      </c>
      <c r="DD48" s="39">
        <v>8</v>
      </c>
      <c r="DE48" s="39">
        <v>8</v>
      </c>
      <c r="DF48" s="39">
        <v>0</v>
      </c>
      <c r="DG48" s="39">
        <v>0</v>
      </c>
      <c r="DH48" s="39">
        <v>0</v>
      </c>
      <c r="DI48" s="39">
        <v>0</v>
      </c>
      <c r="DJ48" s="39">
        <v>6</v>
      </c>
      <c r="DK48" s="39">
        <v>6</v>
      </c>
      <c r="DL48" s="39">
        <v>1</v>
      </c>
      <c r="DM48" s="39">
        <v>2</v>
      </c>
      <c r="DN48" s="39">
        <v>0</v>
      </c>
      <c r="DO48" s="39">
        <v>1</v>
      </c>
      <c r="DP48" s="39">
        <v>0</v>
      </c>
      <c r="DQ48" s="39">
        <v>4</v>
      </c>
      <c r="DR48" s="39">
        <v>0</v>
      </c>
      <c r="DS48" s="39">
        <v>0</v>
      </c>
      <c r="DT48" s="39">
        <v>2</v>
      </c>
      <c r="DU48" s="39">
        <v>2</v>
      </c>
      <c r="DV48" s="39">
        <v>0</v>
      </c>
      <c r="DW48" s="39">
        <v>0</v>
      </c>
      <c r="DX48" s="39">
        <v>0</v>
      </c>
      <c r="DY48" s="39">
        <v>0</v>
      </c>
      <c r="DZ48" s="39">
        <v>5</v>
      </c>
      <c r="EA48" s="39">
        <v>3</v>
      </c>
      <c r="EB48" s="39">
        <v>1</v>
      </c>
      <c r="EC48" s="39">
        <v>1</v>
      </c>
      <c r="ED48" s="39">
        <v>0</v>
      </c>
      <c r="EE48" s="39">
        <v>1</v>
      </c>
      <c r="EF48" s="39">
        <v>0</v>
      </c>
      <c r="EG48" s="39">
        <v>2</v>
      </c>
      <c r="EH48" s="39">
        <v>0</v>
      </c>
      <c r="EI48" s="39">
        <v>0</v>
      </c>
      <c r="EJ48" s="39">
        <v>1</v>
      </c>
      <c r="EK48" s="39">
        <v>1</v>
      </c>
      <c r="EL48" s="39">
        <v>0</v>
      </c>
      <c r="EM48" s="39">
        <v>2.4</v>
      </c>
      <c r="EN48" s="39">
        <v>0</v>
      </c>
      <c r="EO48" s="39">
        <v>6.3</v>
      </c>
      <c r="EP48" s="39"/>
    </row>
    <row r="49" spans="1:146" x14ac:dyDescent="0.25">
      <c r="A49" s="39">
        <v>5726</v>
      </c>
      <c r="B49" s="39" t="s">
        <v>259</v>
      </c>
      <c r="C49" s="39">
        <v>10</v>
      </c>
      <c r="D49" s="39">
        <v>5</v>
      </c>
      <c r="E49" s="39">
        <v>1</v>
      </c>
      <c r="F49" s="39">
        <v>4</v>
      </c>
      <c r="G49" s="39">
        <v>10</v>
      </c>
      <c r="H49" s="39">
        <v>0</v>
      </c>
      <c r="I49" s="39">
        <v>0</v>
      </c>
      <c r="J49" s="39">
        <v>0</v>
      </c>
      <c r="K49" s="39">
        <v>0</v>
      </c>
      <c r="L49" s="39">
        <v>0</v>
      </c>
      <c r="M49" s="39">
        <v>0</v>
      </c>
      <c r="N49" s="39">
        <v>0</v>
      </c>
      <c r="O49" s="39">
        <v>0</v>
      </c>
      <c r="P49" s="39">
        <v>0</v>
      </c>
      <c r="Q49" s="39">
        <v>0</v>
      </c>
      <c r="R49" s="39">
        <v>0</v>
      </c>
      <c r="S49" s="39">
        <v>0</v>
      </c>
      <c r="T49" s="39">
        <v>0</v>
      </c>
      <c r="U49" s="39">
        <v>0</v>
      </c>
      <c r="V49" s="39">
        <v>0</v>
      </c>
      <c r="W49" s="39">
        <v>0</v>
      </c>
      <c r="X49" s="39">
        <v>0</v>
      </c>
      <c r="Y49" s="39">
        <v>0</v>
      </c>
      <c r="Z49" s="39">
        <v>0</v>
      </c>
      <c r="AA49" s="39">
        <v>0</v>
      </c>
      <c r="AB49" s="39">
        <v>0</v>
      </c>
      <c r="AC49" s="39">
        <v>0</v>
      </c>
      <c r="AD49" s="39">
        <v>0</v>
      </c>
      <c r="AE49" s="39">
        <v>0</v>
      </c>
      <c r="AF49" s="39">
        <v>0</v>
      </c>
      <c r="AG49" s="39">
        <v>0</v>
      </c>
      <c r="AH49" s="39">
        <v>34</v>
      </c>
      <c r="AI49" s="39">
        <v>3.4</v>
      </c>
      <c r="AJ49" s="39">
        <v>9</v>
      </c>
      <c r="AK49" s="39">
        <v>6</v>
      </c>
      <c r="AL49" s="39">
        <v>0.6</v>
      </c>
      <c r="AM49" s="39">
        <v>0</v>
      </c>
      <c r="AN49" s="39">
        <v>0</v>
      </c>
      <c r="AO49" s="39">
        <v>0</v>
      </c>
      <c r="AP49" s="39">
        <v>0</v>
      </c>
      <c r="AQ49" s="39">
        <v>0</v>
      </c>
      <c r="AR49" s="39">
        <v>26</v>
      </c>
      <c r="AS49" s="39">
        <v>2.6</v>
      </c>
      <c r="AT49" s="39">
        <v>2</v>
      </c>
      <c r="AU49" s="39">
        <v>0.2</v>
      </c>
      <c r="AV49" s="39">
        <v>77.778000000000006</v>
      </c>
      <c r="AW49" s="39">
        <v>0.7</v>
      </c>
      <c r="AX49" s="39">
        <v>0.9</v>
      </c>
      <c r="AY49" s="39">
        <v>7</v>
      </c>
      <c r="AZ49" s="39">
        <v>9</v>
      </c>
      <c r="BA49" s="39">
        <v>0</v>
      </c>
      <c r="BB49" s="39">
        <v>0</v>
      </c>
      <c r="BC49" s="39">
        <v>0</v>
      </c>
      <c r="BD49" s="39">
        <v>0</v>
      </c>
      <c r="BE49" s="39">
        <v>0</v>
      </c>
      <c r="BF49" s="39">
        <v>0</v>
      </c>
      <c r="BG49" s="39">
        <v>0</v>
      </c>
      <c r="BH49" s="39">
        <v>0</v>
      </c>
      <c r="BI49" s="39">
        <v>0</v>
      </c>
      <c r="BJ49" s="39">
        <v>0</v>
      </c>
      <c r="BK49" s="39">
        <v>0</v>
      </c>
      <c r="BL49" s="39">
        <v>0</v>
      </c>
      <c r="BM49" s="39">
        <v>0</v>
      </c>
      <c r="BN49" s="39">
        <v>0</v>
      </c>
      <c r="BO49" s="39">
        <v>0</v>
      </c>
      <c r="BP49" s="39">
        <v>96.552000000000007</v>
      </c>
      <c r="BQ49" s="39">
        <v>2.8</v>
      </c>
      <c r="BR49" s="39">
        <v>2.9</v>
      </c>
      <c r="BS49" s="39">
        <v>28</v>
      </c>
      <c r="BT49" s="39">
        <v>29</v>
      </c>
      <c r="BU49" s="39">
        <v>35</v>
      </c>
      <c r="BV49" s="39">
        <v>3.5</v>
      </c>
      <c r="BW49" s="39">
        <v>9</v>
      </c>
      <c r="BX49" s="39">
        <v>1</v>
      </c>
      <c r="BY49" s="39">
        <v>0.1</v>
      </c>
      <c r="BZ49" s="39">
        <v>0</v>
      </c>
      <c r="CA49" s="39">
        <v>0</v>
      </c>
      <c r="CB49" s="39">
        <v>0</v>
      </c>
      <c r="CC49" s="39">
        <v>0</v>
      </c>
      <c r="CD49" s="39">
        <v>0</v>
      </c>
      <c r="CE49" s="39">
        <v>0</v>
      </c>
      <c r="CF49" s="39">
        <v>0</v>
      </c>
      <c r="CG49" s="39">
        <v>0</v>
      </c>
      <c r="CH49" s="39">
        <v>0</v>
      </c>
      <c r="CI49" s="39">
        <v>0</v>
      </c>
      <c r="CJ49" s="39">
        <v>0</v>
      </c>
      <c r="CK49" s="39">
        <v>0</v>
      </c>
      <c r="CL49" s="39">
        <v>0</v>
      </c>
      <c r="CM49" s="39">
        <v>0</v>
      </c>
      <c r="CN49" s="39">
        <v>0</v>
      </c>
      <c r="CO49" s="39">
        <v>0</v>
      </c>
      <c r="CP49" s="39">
        <v>3</v>
      </c>
      <c r="CQ49" s="39">
        <v>0</v>
      </c>
      <c r="CR49" s="39">
        <v>8.1669999999999998</v>
      </c>
      <c r="CS49" s="39">
        <v>0</v>
      </c>
      <c r="CT49" s="39">
        <v>8.6880000000000006</v>
      </c>
      <c r="CU49" s="39">
        <v>0</v>
      </c>
      <c r="CV49" s="39">
        <v>6</v>
      </c>
      <c r="CW49" s="39">
        <v>0</v>
      </c>
      <c r="CX49" s="39">
        <v>0</v>
      </c>
      <c r="CY49" s="39">
        <v>0</v>
      </c>
      <c r="CZ49" s="39">
        <v>0</v>
      </c>
      <c r="DA49" s="39">
        <v>0</v>
      </c>
      <c r="DB49" s="39">
        <v>0</v>
      </c>
      <c r="DC49" s="39">
        <v>0</v>
      </c>
      <c r="DD49" s="39">
        <v>0</v>
      </c>
      <c r="DE49" s="39">
        <v>0</v>
      </c>
      <c r="DF49" s="39">
        <v>12</v>
      </c>
      <c r="DG49" s="39">
        <v>0</v>
      </c>
      <c r="DH49" s="39">
        <v>4</v>
      </c>
      <c r="DI49" s="39">
        <v>0</v>
      </c>
      <c r="DJ49" s="39">
        <v>25</v>
      </c>
      <c r="DK49" s="39">
        <v>0</v>
      </c>
      <c r="DL49" s="39">
        <v>3</v>
      </c>
      <c r="DM49" s="39">
        <v>0</v>
      </c>
      <c r="DN49" s="39">
        <v>0</v>
      </c>
      <c r="DO49" s="39">
        <v>0</v>
      </c>
      <c r="DP49" s="39">
        <v>0</v>
      </c>
      <c r="DQ49" s="39">
        <v>0</v>
      </c>
      <c r="DR49" s="39">
        <v>0</v>
      </c>
      <c r="DS49" s="39">
        <v>0</v>
      </c>
      <c r="DT49" s="39">
        <v>0</v>
      </c>
      <c r="DU49" s="39">
        <v>0</v>
      </c>
      <c r="DV49" s="39">
        <v>5</v>
      </c>
      <c r="DW49" s="39">
        <v>0</v>
      </c>
      <c r="DX49" s="39">
        <v>2</v>
      </c>
      <c r="DY49" s="39">
        <v>0</v>
      </c>
      <c r="DZ49" s="39">
        <v>8</v>
      </c>
      <c r="EA49" s="39">
        <v>0</v>
      </c>
      <c r="EB49" s="39">
        <v>3</v>
      </c>
      <c r="EC49" s="39">
        <v>0</v>
      </c>
      <c r="ED49" s="39">
        <v>0</v>
      </c>
      <c r="EE49" s="39">
        <v>0</v>
      </c>
      <c r="EF49" s="39">
        <v>0</v>
      </c>
      <c r="EG49" s="39">
        <v>0</v>
      </c>
      <c r="EH49" s="39">
        <v>0</v>
      </c>
      <c r="EI49" s="39">
        <v>0</v>
      </c>
      <c r="EJ49" s="39">
        <v>0</v>
      </c>
      <c r="EK49" s="39">
        <v>0</v>
      </c>
      <c r="EL49" s="39">
        <v>2</v>
      </c>
      <c r="EM49" s="39">
        <v>2.2999999999999998</v>
      </c>
      <c r="EN49" s="39">
        <v>2.5</v>
      </c>
      <c r="EO49" s="39">
        <v>6.9</v>
      </c>
      <c r="EP49" s="39"/>
    </row>
    <row r="50" spans="1:146" x14ac:dyDescent="0.25">
      <c r="A50" s="39">
        <v>5802</v>
      </c>
      <c r="B50" s="39" t="s">
        <v>260</v>
      </c>
      <c r="C50" s="39">
        <v>10</v>
      </c>
      <c r="D50" s="39">
        <v>1</v>
      </c>
      <c r="E50" s="39">
        <v>2</v>
      </c>
      <c r="F50" s="39">
        <v>6</v>
      </c>
      <c r="G50" s="39">
        <v>8</v>
      </c>
      <c r="H50" s="39">
        <v>0</v>
      </c>
      <c r="I50" s="39">
        <v>0</v>
      </c>
      <c r="J50" s="39">
        <v>0</v>
      </c>
      <c r="K50" s="39">
        <v>0</v>
      </c>
      <c r="L50" s="39">
        <v>100</v>
      </c>
      <c r="M50" s="39">
        <v>0.1</v>
      </c>
      <c r="N50" s="39">
        <v>0.1</v>
      </c>
      <c r="O50" s="39">
        <v>1</v>
      </c>
      <c r="P50" s="39">
        <v>1</v>
      </c>
      <c r="Q50" s="39">
        <v>50</v>
      </c>
      <c r="R50" s="39">
        <v>0.1</v>
      </c>
      <c r="S50" s="39">
        <v>0.2</v>
      </c>
      <c r="T50" s="39">
        <v>1</v>
      </c>
      <c r="U50" s="39">
        <v>2</v>
      </c>
      <c r="V50" s="39">
        <v>0</v>
      </c>
      <c r="W50" s="39">
        <v>0</v>
      </c>
      <c r="X50" s="39">
        <v>0</v>
      </c>
      <c r="Y50" s="39">
        <v>0</v>
      </c>
      <c r="Z50" s="39">
        <v>0</v>
      </c>
      <c r="AA50" s="39">
        <v>0</v>
      </c>
      <c r="AB50" s="39">
        <v>0</v>
      </c>
      <c r="AC50" s="39">
        <v>0</v>
      </c>
      <c r="AD50" s="39">
        <v>0</v>
      </c>
      <c r="AE50" s="39">
        <v>0</v>
      </c>
      <c r="AF50" s="39">
        <v>0</v>
      </c>
      <c r="AG50" s="39">
        <v>0</v>
      </c>
      <c r="AH50" s="39">
        <v>60</v>
      </c>
      <c r="AI50" s="39">
        <v>6</v>
      </c>
      <c r="AJ50" s="39">
        <v>10</v>
      </c>
      <c r="AK50" s="39">
        <v>9</v>
      </c>
      <c r="AL50" s="39">
        <v>0.9</v>
      </c>
      <c r="AM50" s="39">
        <v>100</v>
      </c>
      <c r="AN50" s="39">
        <v>0.9</v>
      </c>
      <c r="AO50" s="39">
        <v>0.9</v>
      </c>
      <c r="AP50" s="39">
        <v>9</v>
      </c>
      <c r="AQ50" s="39">
        <v>9</v>
      </c>
      <c r="AR50" s="39">
        <v>15</v>
      </c>
      <c r="AS50" s="39">
        <v>1.5</v>
      </c>
      <c r="AT50" s="39">
        <v>27</v>
      </c>
      <c r="AU50" s="39">
        <v>2.7</v>
      </c>
      <c r="AV50" s="39">
        <v>100</v>
      </c>
      <c r="AW50" s="39">
        <v>0.7</v>
      </c>
      <c r="AX50" s="39">
        <v>0.7</v>
      </c>
      <c r="AY50" s="39">
        <v>7</v>
      </c>
      <c r="AZ50" s="39">
        <v>7</v>
      </c>
      <c r="BA50" s="39">
        <v>87.5</v>
      </c>
      <c r="BB50" s="39">
        <v>0.7</v>
      </c>
      <c r="BC50" s="39">
        <v>0.8</v>
      </c>
      <c r="BD50" s="39">
        <v>7</v>
      </c>
      <c r="BE50" s="39">
        <v>8</v>
      </c>
      <c r="BF50" s="39">
        <v>100</v>
      </c>
      <c r="BG50" s="39">
        <v>1.4</v>
      </c>
      <c r="BH50" s="39">
        <v>1.4</v>
      </c>
      <c r="BI50" s="39">
        <v>14</v>
      </c>
      <c r="BJ50" s="39">
        <v>14</v>
      </c>
      <c r="BK50" s="39">
        <v>100</v>
      </c>
      <c r="BL50" s="39">
        <v>1.8</v>
      </c>
      <c r="BM50" s="39">
        <v>1.8</v>
      </c>
      <c r="BN50" s="39">
        <v>18</v>
      </c>
      <c r="BO50" s="39">
        <v>18</v>
      </c>
      <c r="BP50" s="39">
        <v>100</v>
      </c>
      <c r="BQ50" s="39">
        <v>1.2</v>
      </c>
      <c r="BR50" s="39">
        <v>1.2</v>
      </c>
      <c r="BS50" s="39">
        <v>12</v>
      </c>
      <c r="BT50" s="39">
        <v>12</v>
      </c>
      <c r="BU50" s="39">
        <v>58</v>
      </c>
      <c r="BV50" s="39">
        <v>5.8</v>
      </c>
      <c r="BW50" s="39">
        <v>11</v>
      </c>
      <c r="BX50" s="39">
        <v>1</v>
      </c>
      <c r="BY50" s="39">
        <v>0.1</v>
      </c>
      <c r="BZ50" s="39">
        <v>0</v>
      </c>
      <c r="CA50" s="39">
        <v>0</v>
      </c>
      <c r="CB50" s="39">
        <v>0</v>
      </c>
      <c r="CC50" s="39">
        <v>22</v>
      </c>
      <c r="CD50" s="39">
        <v>1</v>
      </c>
      <c r="CE50" s="39">
        <v>0</v>
      </c>
      <c r="CF50" s="39">
        <v>100</v>
      </c>
      <c r="CG50" s="39">
        <v>5</v>
      </c>
      <c r="CH50" s="39">
        <v>5</v>
      </c>
      <c r="CI50" s="39">
        <v>0</v>
      </c>
      <c r="CJ50" s="39">
        <v>0</v>
      </c>
      <c r="CK50" s="39">
        <v>0</v>
      </c>
      <c r="CL50" s="39">
        <v>0</v>
      </c>
      <c r="CM50" s="39">
        <v>0</v>
      </c>
      <c r="CN50" s="39">
        <v>0</v>
      </c>
      <c r="CO50" s="39">
        <v>0</v>
      </c>
      <c r="CP50" s="39">
        <v>2</v>
      </c>
      <c r="CQ50" s="39">
        <v>24</v>
      </c>
      <c r="CR50" s="39">
        <v>3.1669999999999998</v>
      </c>
      <c r="CS50" s="39">
        <v>38</v>
      </c>
      <c r="CT50" s="39">
        <v>7.5709999999999997</v>
      </c>
      <c r="CU50" s="39">
        <v>7.3860000000000001</v>
      </c>
      <c r="CV50" s="39">
        <v>0</v>
      </c>
      <c r="CW50" s="39">
        <v>2.6</v>
      </c>
      <c r="CX50" s="39">
        <v>0</v>
      </c>
      <c r="CY50" s="39">
        <v>17.25</v>
      </c>
      <c r="CZ50" s="39">
        <v>6</v>
      </c>
      <c r="DA50" s="39">
        <v>5.5</v>
      </c>
      <c r="DB50" s="39">
        <v>0</v>
      </c>
      <c r="DC50" s="39">
        <v>5</v>
      </c>
      <c r="DD50" s="39">
        <v>0</v>
      </c>
      <c r="DE50" s="39">
        <v>12</v>
      </c>
      <c r="DF50" s="39">
        <v>4</v>
      </c>
      <c r="DG50" s="39">
        <v>1</v>
      </c>
      <c r="DH50" s="39">
        <v>5</v>
      </c>
      <c r="DI50" s="39">
        <v>1</v>
      </c>
      <c r="DJ50" s="39">
        <v>10</v>
      </c>
      <c r="DK50" s="39">
        <v>23</v>
      </c>
      <c r="DL50" s="39">
        <v>0</v>
      </c>
      <c r="DM50" s="39">
        <v>5</v>
      </c>
      <c r="DN50" s="39">
        <v>0</v>
      </c>
      <c r="DO50" s="39">
        <v>3</v>
      </c>
      <c r="DP50" s="39">
        <v>1</v>
      </c>
      <c r="DQ50" s="39">
        <v>3</v>
      </c>
      <c r="DR50" s="39">
        <v>0</v>
      </c>
      <c r="DS50" s="39">
        <v>2</v>
      </c>
      <c r="DT50" s="39">
        <v>0</v>
      </c>
      <c r="DU50" s="39">
        <v>1</v>
      </c>
      <c r="DV50" s="39">
        <v>1</v>
      </c>
      <c r="DW50" s="39">
        <v>1</v>
      </c>
      <c r="DX50" s="39">
        <v>3</v>
      </c>
      <c r="DY50" s="39">
        <v>1</v>
      </c>
      <c r="DZ50" s="39">
        <v>7</v>
      </c>
      <c r="EA50" s="39">
        <v>6</v>
      </c>
      <c r="EB50" s="39">
        <v>0</v>
      </c>
      <c r="EC50" s="39">
        <v>5</v>
      </c>
      <c r="ED50" s="39">
        <v>0</v>
      </c>
      <c r="EE50" s="39">
        <v>2</v>
      </c>
      <c r="EF50" s="39">
        <v>1</v>
      </c>
      <c r="EG50" s="39">
        <v>2</v>
      </c>
      <c r="EH50" s="39">
        <v>0</v>
      </c>
      <c r="EI50" s="39">
        <v>1</v>
      </c>
      <c r="EJ50" s="39">
        <v>0</v>
      </c>
      <c r="EK50" s="39">
        <v>1</v>
      </c>
      <c r="EL50" s="39">
        <v>1</v>
      </c>
      <c r="EM50" s="39">
        <v>2.9</v>
      </c>
      <c r="EN50" s="39">
        <v>1.5</v>
      </c>
      <c r="EO50" s="39">
        <v>11.8</v>
      </c>
      <c r="EP50" s="39"/>
    </row>
    <row r="51" spans="1:146" x14ac:dyDescent="0.25">
      <c r="A51" s="39">
        <v>5849</v>
      </c>
      <c r="B51" s="39" t="s">
        <v>261</v>
      </c>
      <c r="C51" s="39">
        <v>10</v>
      </c>
      <c r="D51" s="39">
        <v>3</v>
      </c>
      <c r="E51" s="39">
        <v>2</v>
      </c>
      <c r="F51" s="39">
        <v>4</v>
      </c>
      <c r="G51" s="39">
        <v>8</v>
      </c>
      <c r="H51" s="39">
        <v>0</v>
      </c>
      <c r="I51" s="39">
        <v>0</v>
      </c>
      <c r="J51" s="39">
        <v>0</v>
      </c>
      <c r="K51" s="39">
        <v>0</v>
      </c>
      <c r="L51" s="39">
        <v>0</v>
      </c>
      <c r="M51" s="39">
        <v>0</v>
      </c>
      <c r="N51" s="39">
        <v>0.1</v>
      </c>
      <c r="O51" s="39">
        <v>0</v>
      </c>
      <c r="P51" s="39">
        <v>1</v>
      </c>
      <c r="Q51" s="39">
        <v>0</v>
      </c>
      <c r="R51" s="39">
        <v>0</v>
      </c>
      <c r="S51" s="39">
        <v>0</v>
      </c>
      <c r="T51" s="39">
        <v>0</v>
      </c>
      <c r="U51" s="39">
        <v>0</v>
      </c>
      <c r="V51" s="39">
        <v>0</v>
      </c>
      <c r="W51" s="39">
        <v>0</v>
      </c>
      <c r="X51" s="39">
        <v>0</v>
      </c>
      <c r="Y51" s="39">
        <v>0</v>
      </c>
      <c r="Z51" s="39">
        <v>0</v>
      </c>
      <c r="AA51" s="39">
        <v>0</v>
      </c>
      <c r="AB51" s="39">
        <v>0</v>
      </c>
      <c r="AC51" s="39">
        <v>0</v>
      </c>
      <c r="AD51" s="39">
        <v>0</v>
      </c>
      <c r="AE51" s="39">
        <v>0</v>
      </c>
      <c r="AF51" s="39">
        <v>0</v>
      </c>
      <c r="AG51" s="39">
        <v>0</v>
      </c>
      <c r="AH51" s="39">
        <v>21</v>
      </c>
      <c r="AI51" s="39">
        <v>2.1</v>
      </c>
      <c r="AJ51" s="39">
        <v>5</v>
      </c>
      <c r="AK51" s="39">
        <v>5</v>
      </c>
      <c r="AL51" s="39">
        <v>0.5</v>
      </c>
      <c r="AM51" s="39">
        <v>0</v>
      </c>
      <c r="AN51" s="39">
        <v>0</v>
      </c>
      <c r="AO51" s="39">
        <v>0</v>
      </c>
      <c r="AP51" s="39">
        <v>0</v>
      </c>
      <c r="AQ51" s="39">
        <v>0</v>
      </c>
      <c r="AR51" s="39">
        <v>16</v>
      </c>
      <c r="AS51" s="39">
        <v>1.6</v>
      </c>
      <c r="AT51" s="39">
        <v>0</v>
      </c>
      <c r="AU51" s="39">
        <v>0</v>
      </c>
      <c r="AV51" s="39">
        <v>0</v>
      </c>
      <c r="AW51" s="39">
        <v>0</v>
      </c>
      <c r="AX51" s="39">
        <v>0</v>
      </c>
      <c r="AY51" s="39">
        <v>0</v>
      </c>
      <c r="AZ51" s="39">
        <v>0</v>
      </c>
      <c r="BA51" s="39">
        <v>0</v>
      </c>
      <c r="BB51" s="39">
        <v>0</v>
      </c>
      <c r="BC51" s="39">
        <v>0</v>
      </c>
      <c r="BD51" s="39">
        <v>0</v>
      </c>
      <c r="BE51" s="39">
        <v>0</v>
      </c>
      <c r="BF51" s="39">
        <v>0</v>
      </c>
      <c r="BG51" s="39">
        <v>0</v>
      </c>
      <c r="BH51" s="39">
        <v>0</v>
      </c>
      <c r="BI51" s="39">
        <v>0</v>
      </c>
      <c r="BJ51" s="39">
        <v>0</v>
      </c>
      <c r="BK51" s="39">
        <v>0</v>
      </c>
      <c r="BL51" s="39">
        <v>0</v>
      </c>
      <c r="BM51" s="39">
        <v>0</v>
      </c>
      <c r="BN51" s="39">
        <v>0</v>
      </c>
      <c r="BO51" s="39">
        <v>0</v>
      </c>
      <c r="BP51" s="39">
        <v>91.304000000000002</v>
      </c>
      <c r="BQ51" s="39">
        <v>2.1</v>
      </c>
      <c r="BR51" s="39">
        <v>2.2999999999999998</v>
      </c>
      <c r="BS51" s="39">
        <v>21</v>
      </c>
      <c r="BT51" s="39">
        <v>23</v>
      </c>
      <c r="BU51" s="39">
        <v>21</v>
      </c>
      <c r="BV51" s="39">
        <v>2.1</v>
      </c>
      <c r="BW51" s="39">
        <v>6</v>
      </c>
      <c r="BX51" s="39">
        <v>4</v>
      </c>
      <c r="BY51" s="39">
        <v>0.4</v>
      </c>
      <c r="BZ51" s="39">
        <v>0</v>
      </c>
      <c r="CA51" s="39">
        <v>0</v>
      </c>
      <c r="CB51" s="39">
        <v>0</v>
      </c>
      <c r="CC51" s="39">
        <v>0</v>
      </c>
      <c r="CD51" s="39">
        <v>0</v>
      </c>
      <c r="CE51" s="39">
        <v>0</v>
      </c>
      <c r="CF51" s="39">
        <v>100</v>
      </c>
      <c r="CG51" s="39">
        <v>2</v>
      </c>
      <c r="CH51" s="39">
        <v>2</v>
      </c>
      <c r="CI51" s="39">
        <v>100</v>
      </c>
      <c r="CJ51" s="39">
        <v>1</v>
      </c>
      <c r="CK51" s="39">
        <v>1</v>
      </c>
      <c r="CL51" s="39">
        <v>0</v>
      </c>
      <c r="CM51" s="39">
        <v>0</v>
      </c>
      <c r="CN51" s="39">
        <v>0</v>
      </c>
      <c r="CO51" s="39">
        <v>0</v>
      </c>
      <c r="CP51" s="39">
        <v>3</v>
      </c>
      <c r="CQ51" s="39">
        <v>0</v>
      </c>
      <c r="CR51" s="39">
        <v>0</v>
      </c>
      <c r="CS51" s="39">
        <v>0</v>
      </c>
      <c r="CT51" s="39">
        <v>9.1069999999999993</v>
      </c>
      <c r="CU51" s="39">
        <v>0</v>
      </c>
      <c r="CV51" s="39">
        <v>0</v>
      </c>
      <c r="CW51" s="39">
        <v>0</v>
      </c>
      <c r="CX51" s="39">
        <v>0</v>
      </c>
      <c r="CY51" s="39">
        <v>0</v>
      </c>
      <c r="CZ51" s="39">
        <v>0</v>
      </c>
      <c r="DA51" s="39">
        <v>0</v>
      </c>
      <c r="DB51" s="39">
        <v>0</v>
      </c>
      <c r="DC51" s="39">
        <v>0</v>
      </c>
      <c r="DD51" s="39">
        <v>0</v>
      </c>
      <c r="DE51" s="39">
        <v>0</v>
      </c>
      <c r="DF51" s="39">
        <v>0</v>
      </c>
      <c r="DG51" s="39">
        <v>0</v>
      </c>
      <c r="DH51" s="39">
        <v>0</v>
      </c>
      <c r="DI51" s="39">
        <v>0</v>
      </c>
      <c r="DJ51" s="39">
        <v>22</v>
      </c>
      <c r="DK51" s="39">
        <v>0</v>
      </c>
      <c r="DL51" s="39">
        <v>0</v>
      </c>
      <c r="DM51" s="39">
        <v>0</v>
      </c>
      <c r="DN51" s="39">
        <v>0</v>
      </c>
      <c r="DO51" s="39">
        <v>0</v>
      </c>
      <c r="DP51" s="39">
        <v>0</v>
      </c>
      <c r="DQ51" s="39">
        <v>0</v>
      </c>
      <c r="DR51" s="39">
        <v>0</v>
      </c>
      <c r="DS51" s="39">
        <v>0</v>
      </c>
      <c r="DT51" s="39">
        <v>0</v>
      </c>
      <c r="DU51" s="39">
        <v>0</v>
      </c>
      <c r="DV51" s="39">
        <v>0</v>
      </c>
      <c r="DW51" s="39">
        <v>0</v>
      </c>
      <c r="DX51" s="39">
        <v>0</v>
      </c>
      <c r="DY51" s="39">
        <v>0</v>
      </c>
      <c r="DZ51" s="39">
        <v>6</v>
      </c>
      <c r="EA51" s="39">
        <v>0</v>
      </c>
      <c r="EB51" s="39">
        <v>0</v>
      </c>
      <c r="EC51" s="39">
        <v>0</v>
      </c>
      <c r="ED51" s="39">
        <v>0</v>
      </c>
      <c r="EE51" s="39">
        <v>0</v>
      </c>
      <c r="EF51" s="39">
        <v>0</v>
      </c>
      <c r="EG51" s="39">
        <v>0</v>
      </c>
      <c r="EH51" s="39">
        <v>0</v>
      </c>
      <c r="EI51" s="39">
        <v>0</v>
      </c>
      <c r="EJ51" s="39">
        <v>0</v>
      </c>
      <c r="EK51" s="39">
        <v>0</v>
      </c>
      <c r="EL51" s="39">
        <v>0</v>
      </c>
      <c r="EM51" s="39">
        <v>1.7</v>
      </c>
      <c r="EN51" s="39">
        <v>1</v>
      </c>
      <c r="EO51" s="39">
        <v>4.2</v>
      </c>
      <c r="EP51" s="39"/>
    </row>
    <row r="52" spans="1:146" x14ac:dyDescent="0.25">
      <c r="A52" s="39">
        <v>5997</v>
      </c>
      <c r="B52" s="39" t="s">
        <v>262</v>
      </c>
      <c r="C52" s="39">
        <v>9</v>
      </c>
      <c r="D52" s="39">
        <v>2</v>
      </c>
      <c r="E52" s="39">
        <v>4</v>
      </c>
      <c r="F52" s="39">
        <v>3</v>
      </c>
      <c r="G52" s="39">
        <v>7</v>
      </c>
      <c r="H52" s="39">
        <v>0</v>
      </c>
      <c r="I52" s="39">
        <v>0</v>
      </c>
      <c r="J52" s="39">
        <v>0</v>
      </c>
      <c r="K52" s="39">
        <v>0</v>
      </c>
      <c r="L52" s="39">
        <v>49.95</v>
      </c>
      <c r="M52" s="39">
        <v>0.111</v>
      </c>
      <c r="N52" s="39">
        <v>0.222</v>
      </c>
      <c r="O52" s="39">
        <v>1</v>
      </c>
      <c r="P52" s="39">
        <v>2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63</v>
      </c>
      <c r="AI52" s="39">
        <v>7</v>
      </c>
      <c r="AJ52" s="39">
        <v>11</v>
      </c>
      <c r="AK52" s="39">
        <v>14</v>
      </c>
      <c r="AL52" s="39">
        <v>1.556</v>
      </c>
      <c r="AM52" s="39">
        <v>100</v>
      </c>
      <c r="AN52" s="39">
        <v>0.33300000000000002</v>
      </c>
      <c r="AO52" s="39">
        <v>0.33300000000000002</v>
      </c>
      <c r="AP52" s="39">
        <v>3</v>
      </c>
      <c r="AQ52" s="39">
        <v>3</v>
      </c>
      <c r="AR52" s="39">
        <v>45</v>
      </c>
      <c r="AS52" s="39">
        <v>5</v>
      </c>
      <c r="AT52" s="39">
        <v>1</v>
      </c>
      <c r="AU52" s="39">
        <v>0.111</v>
      </c>
      <c r="AV52" s="39">
        <v>100</v>
      </c>
      <c r="AW52" s="39">
        <v>0.44400000000000001</v>
      </c>
      <c r="AX52" s="39">
        <v>0.44400000000000001</v>
      </c>
      <c r="AY52" s="39">
        <v>4</v>
      </c>
      <c r="AZ52" s="39">
        <v>4</v>
      </c>
      <c r="BA52" s="39">
        <v>0</v>
      </c>
      <c r="BB52" s="39">
        <v>0</v>
      </c>
      <c r="BC52" s="39">
        <v>0</v>
      </c>
      <c r="BD52" s="39">
        <v>0</v>
      </c>
      <c r="BE52" s="39">
        <v>0</v>
      </c>
      <c r="BF52" s="39">
        <v>0</v>
      </c>
      <c r="BG52" s="39">
        <v>0</v>
      </c>
      <c r="BH52" s="39">
        <v>0</v>
      </c>
      <c r="BI52" s="39">
        <v>0</v>
      </c>
      <c r="BJ52" s="39">
        <v>0</v>
      </c>
      <c r="BK52" s="39">
        <v>0</v>
      </c>
      <c r="BL52" s="39">
        <v>0</v>
      </c>
      <c r="BM52" s="39">
        <v>0</v>
      </c>
      <c r="BN52" s="39">
        <v>0</v>
      </c>
      <c r="BO52" s="39">
        <v>0</v>
      </c>
      <c r="BP52" s="39">
        <v>98.462000000000003</v>
      </c>
      <c r="BQ52" s="39">
        <v>7.1109999999999998</v>
      </c>
      <c r="BR52" s="39">
        <v>7.2220000000000004</v>
      </c>
      <c r="BS52" s="39">
        <v>64</v>
      </c>
      <c r="BT52" s="39">
        <v>65</v>
      </c>
      <c r="BU52" s="39">
        <v>68</v>
      </c>
      <c r="BV52" s="39">
        <v>7.556</v>
      </c>
      <c r="BW52" s="39">
        <v>10</v>
      </c>
      <c r="BX52" s="39">
        <v>3</v>
      </c>
      <c r="BY52" s="39">
        <v>0.33300000000000002</v>
      </c>
      <c r="BZ52" s="39">
        <v>0</v>
      </c>
      <c r="CA52" s="39">
        <v>0</v>
      </c>
      <c r="CB52" s="39">
        <v>0</v>
      </c>
      <c r="CC52" s="39">
        <v>0</v>
      </c>
      <c r="CD52" s="39">
        <v>0</v>
      </c>
      <c r="CE52" s="39">
        <v>0</v>
      </c>
      <c r="CF52" s="39">
        <v>0</v>
      </c>
      <c r="CG52" s="39">
        <v>0</v>
      </c>
      <c r="CH52" s="39">
        <v>0</v>
      </c>
      <c r="CI52" s="39">
        <v>0</v>
      </c>
      <c r="CJ52" s="39">
        <v>0</v>
      </c>
      <c r="CK52" s="39">
        <v>0</v>
      </c>
      <c r="CL52" s="39">
        <v>0</v>
      </c>
      <c r="CM52" s="39">
        <v>0</v>
      </c>
      <c r="CN52" s="39">
        <v>0</v>
      </c>
      <c r="CO52" s="39">
        <v>0</v>
      </c>
      <c r="CP52" s="39">
        <v>6</v>
      </c>
      <c r="CQ52" s="39">
        <v>0</v>
      </c>
      <c r="CR52" s="39">
        <v>0</v>
      </c>
      <c r="CS52" s="39">
        <v>0</v>
      </c>
      <c r="CT52" s="39">
        <v>5.3979999999999997</v>
      </c>
      <c r="CU52" s="39">
        <v>0</v>
      </c>
      <c r="CV52" s="39">
        <v>0</v>
      </c>
      <c r="CW52" s="39">
        <v>0</v>
      </c>
      <c r="CX52" s="39">
        <v>0</v>
      </c>
      <c r="CY52" s="39">
        <v>0</v>
      </c>
      <c r="CZ52" s="39">
        <v>18</v>
      </c>
      <c r="DA52" s="39">
        <v>0</v>
      </c>
      <c r="DB52" s="39">
        <v>0</v>
      </c>
      <c r="DC52" s="39">
        <v>0</v>
      </c>
      <c r="DD52" s="39">
        <v>0</v>
      </c>
      <c r="DE52" s="39">
        <v>0</v>
      </c>
      <c r="DF52" s="39">
        <v>10.467000000000001</v>
      </c>
      <c r="DG52" s="39">
        <v>0</v>
      </c>
      <c r="DH52" s="39">
        <v>0</v>
      </c>
      <c r="DI52" s="39">
        <v>0</v>
      </c>
      <c r="DJ52" s="39">
        <v>54</v>
      </c>
      <c r="DK52" s="39">
        <v>0</v>
      </c>
      <c r="DL52" s="39">
        <v>0</v>
      </c>
      <c r="DM52" s="39">
        <v>0</v>
      </c>
      <c r="DN52" s="39">
        <v>0</v>
      </c>
      <c r="DO52" s="39">
        <v>0</v>
      </c>
      <c r="DP52" s="39">
        <v>1</v>
      </c>
      <c r="DQ52" s="39">
        <v>0</v>
      </c>
      <c r="DR52" s="39">
        <v>0</v>
      </c>
      <c r="DS52" s="39">
        <v>0</v>
      </c>
      <c r="DT52" s="39">
        <v>0</v>
      </c>
      <c r="DU52" s="39">
        <v>0</v>
      </c>
      <c r="DV52" s="39">
        <v>9</v>
      </c>
      <c r="DW52" s="39">
        <v>0</v>
      </c>
      <c r="DX52" s="39">
        <v>0</v>
      </c>
      <c r="DY52" s="39">
        <v>0</v>
      </c>
      <c r="DZ52" s="39">
        <v>10</v>
      </c>
      <c r="EA52" s="39">
        <v>0</v>
      </c>
      <c r="EB52" s="39">
        <v>0</v>
      </c>
      <c r="EC52" s="39">
        <v>0</v>
      </c>
      <c r="ED52" s="39">
        <v>0</v>
      </c>
      <c r="EE52" s="39">
        <v>0</v>
      </c>
      <c r="EF52" s="39">
        <v>1</v>
      </c>
      <c r="EG52" s="39">
        <v>0</v>
      </c>
      <c r="EH52" s="39">
        <v>0</v>
      </c>
      <c r="EI52" s="39">
        <v>0</v>
      </c>
      <c r="EJ52" s="39">
        <v>0</v>
      </c>
      <c r="EK52" s="39">
        <v>0</v>
      </c>
      <c r="EL52" s="39">
        <v>3</v>
      </c>
      <c r="EM52" s="39">
        <v>2.8889999999999998</v>
      </c>
      <c r="EN52" s="39">
        <v>1.5</v>
      </c>
      <c r="EO52" s="39">
        <v>14.555999999999999</v>
      </c>
      <c r="EP52" s="39"/>
    </row>
    <row r="53" spans="1:146" x14ac:dyDescent="0.25">
      <c r="A53" s="39">
        <v>6377</v>
      </c>
      <c r="B53" s="39" t="s">
        <v>263</v>
      </c>
      <c r="C53" s="39">
        <v>10</v>
      </c>
      <c r="D53" s="39">
        <v>2</v>
      </c>
      <c r="E53" s="39">
        <v>4</v>
      </c>
      <c r="F53" s="39">
        <v>4</v>
      </c>
      <c r="G53" s="39">
        <v>8</v>
      </c>
      <c r="H53" s="39">
        <v>0</v>
      </c>
      <c r="I53" s="39">
        <v>0</v>
      </c>
      <c r="J53" s="39">
        <v>0</v>
      </c>
      <c r="K53" s="39">
        <v>0</v>
      </c>
      <c r="L53" s="39">
        <v>85.713999999999999</v>
      </c>
      <c r="M53" s="39">
        <v>0.6</v>
      </c>
      <c r="N53" s="39">
        <v>0.7</v>
      </c>
      <c r="O53" s="39">
        <v>6</v>
      </c>
      <c r="P53" s="39">
        <v>7</v>
      </c>
      <c r="Q53" s="39">
        <v>0</v>
      </c>
      <c r="R53" s="39">
        <v>0</v>
      </c>
      <c r="S53" s="39">
        <v>0</v>
      </c>
      <c r="T53" s="39">
        <v>0</v>
      </c>
      <c r="U53" s="39">
        <v>0</v>
      </c>
      <c r="V53" s="39">
        <v>0</v>
      </c>
      <c r="W53" s="39">
        <v>0</v>
      </c>
      <c r="X53" s="39">
        <v>0</v>
      </c>
      <c r="Y53" s="39">
        <v>0</v>
      </c>
      <c r="Z53" s="39">
        <v>0</v>
      </c>
      <c r="AA53" s="39">
        <v>0</v>
      </c>
      <c r="AB53" s="39">
        <v>0</v>
      </c>
      <c r="AC53" s="39">
        <v>0</v>
      </c>
      <c r="AD53" s="39">
        <v>0</v>
      </c>
      <c r="AE53" s="39">
        <v>0</v>
      </c>
      <c r="AF53" s="39">
        <v>0</v>
      </c>
      <c r="AG53" s="39">
        <v>0</v>
      </c>
      <c r="AH53" s="39">
        <v>76</v>
      </c>
      <c r="AI53" s="39">
        <v>7.6</v>
      </c>
      <c r="AJ53" s="39">
        <v>13</v>
      </c>
      <c r="AK53" s="39">
        <v>20</v>
      </c>
      <c r="AL53" s="39">
        <v>2</v>
      </c>
      <c r="AM53" s="39">
        <v>100</v>
      </c>
      <c r="AN53" s="39">
        <v>0.1</v>
      </c>
      <c r="AO53" s="39">
        <v>0.1</v>
      </c>
      <c r="AP53" s="39">
        <v>1</v>
      </c>
      <c r="AQ53" s="39">
        <v>1</v>
      </c>
      <c r="AR53" s="39">
        <v>51</v>
      </c>
      <c r="AS53" s="39">
        <v>5.0999999999999996</v>
      </c>
      <c r="AT53" s="39">
        <v>4</v>
      </c>
      <c r="AU53" s="39">
        <v>0.4</v>
      </c>
      <c r="AV53" s="39">
        <v>95</v>
      </c>
      <c r="AW53" s="39">
        <v>1.9</v>
      </c>
      <c r="AX53" s="39">
        <v>2</v>
      </c>
      <c r="AY53" s="39">
        <v>19</v>
      </c>
      <c r="AZ53" s="39">
        <v>20</v>
      </c>
      <c r="BA53" s="39">
        <v>100</v>
      </c>
      <c r="BB53" s="39">
        <v>0.2</v>
      </c>
      <c r="BC53" s="39">
        <v>0.2</v>
      </c>
      <c r="BD53" s="39">
        <v>2</v>
      </c>
      <c r="BE53" s="39">
        <v>2</v>
      </c>
      <c r="BF53" s="39">
        <v>0</v>
      </c>
      <c r="BG53" s="39">
        <v>0</v>
      </c>
      <c r="BH53" s="39">
        <v>0</v>
      </c>
      <c r="BI53" s="39">
        <v>0</v>
      </c>
      <c r="BJ53" s="39">
        <v>0</v>
      </c>
      <c r="BK53" s="39">
        <v>0</v>
      </c>
      <c r="BL53" s="39">
        <v>0</v>
      </c>
      <c r="BM53" s="39">
        <v>0</v>
      </c>
      <c r="BN53" s="39">
        <v>0</v>
      </c>
      <c r="BO53" s="39">
        <v>0</v>
      </c>
      <c r="BP53" s="39">
        <v>100</v>
      </c>
      <c r="BQ53" s="39">
        <v>6</v>
      </c>
      <c r="BR53" s="39">
        <v>6</v>
      </c>
      <c r="BS53" s="39">
        <v>60</v>
      </c>
      <c r="BT53" s="39">
        <v>60</v>
      </c>
      <c r="BU53" s="39">
        <v>81</v>
      </c>
      <c r="BV53" s="39">
        <v>8.1</v>
      </c>
      <c r="BW53" s="39">
        <v>13</v>
      </c>
      <c r="BX53" s="39">
        <v>3</v>
      </c>
      <c r="BY53" s="39">
        <v>0.3</v>
      </c>
      <c r="BZ53" s="39">
        <v>0</v>
      </c>
      <c r="CA53" s="39">
        <v>0</v>
      </c>
      <c r="CB53" s="39">
        <v>0</v>
      </c>
      <c r="CC53" s="39">
        <v>0</v>
      </c>
      <c r="CD53" s="39">
        <v>0</v>
      </c>
      <c r="CE53" s="39">
        <v>0</v>
      </c>
      <c r="CF53" s="39">
        <v>0</v>
      </c>
      <c r="CG53" s="39">
        <v>0</v>
      </c>
      <c r="CH53" s="39">
        <v>0</v>
      </c>
      <c r="CI53" s="39">
        <v>0</v>
      </c>
      <c r="CJ53" s="39">
        <v>0</v>
      </c>
      <c r="CK53" s="39">
        <v>0</v>
      </c>
      <c r="CL53" s="39">
        <v>0</v>
      </c>
      <c r="CM53" s="39">
        <v>0</v>
      </c>
      <c r="CN53" s="39">
        <v>0</v>
      </c>
      <c r="CO53" s="39">
        <v>0</v>
      </c>
      <c r="CP53" s="39">
        <v>4</v>
      </c>
      <c r="CQ53" s="39">
        <v>0</v>
      </c>
      <c r="CR53" s="39">
        <v>4.5839999999999996</v>
      </c>
      <c r="CS53" s="39">
        <v>0</v>
      </c>
      <c r="CT53" s="39">
        <v>3.835</v>
      </c>
      <c r="CU53" s="39">
        <v>0</v>
      </c>
      <c r="CV53" s="39">
        <v>10.25</v>
      </c>
      <c r="CW53" s="39">
        <v>20</v>
      </c>
      <c r="CX53" s="39">
        <v>0</v>
      </c>
      <c r="CY53" s="39">
        <v>0</v>
      </c>
      <c r="CZ53" s="39">
        <v>7</v>
      </c>
      <c r="DA53" s="39">
        <v>19</v>
      </c>
      <c r="DB53" s="39">
        <v>0</v>
      </c>
      <c r="DC53" s="39">
        <v>0</v>
      </c>
      <c r="DD53" s="39">
        <v>10.444000000000001</v>
      </c>
      <c r="DE53" s="39">
        <v>0</v>
      </c>
      <c r="DF53" s="39">
        <v>5.8330000000000002</v>
      </c>
      <c r="DG53" s="39">
        <v>0</v>
      </c>
      <c r="DH53" s="39">
        <v>8</v>
      </c>
      <c r="DI53" s="39">
        <v>0</v>
      </c>
      <c r="DJ53" s="39">
        <v>53</v>
      </c>
      <c r="DK53" s="39">
        <v>0</v>
      </c>
      <c r="DL53" s="39">
        <v>4</v>
      </c>
      <c r="DM53" s="39">
        <v>1</v>
      </c>
      <c r="DN53" s="39">
        <v>0</v>
      </c>
      <c r="DO53" s="39">
        <v>0</v>
      </c>
      <c r="DP53" s="39">
        <v>1</v>
      </c>
      <c r="DQ53" s="39">
        <v>1</v>
      </c>
      <c r="DR53" s="39">
        <v>0</v>
      </c>
      <c r="DS53" s="39">
        <v>0</v>
      </c>
      <c r="DT53" s="39">
        <v>5</v>
      </c>
      <c r="DU53" s="39">
        <v>0</v>
      </c>
      <c r="DV53" s="39">
        <v>9</v>
      </c>
      <c r="DW53" s="39">
        <v>0</v>
      </c>
      <c r="DX53" s="39">
        <v>6</v>
      </c>
      <c r="DY53" s="39">
        <v>0</v>
      </c>
      <c r="DZ53" s="39">
        <v>8</v>
      </c>
      <c r="EA53" s="39">
        <v>0</v>
      </c>
      <c r="EB53" s="39">
        <v>2</v>
      </c>
      <c r="EC53" s="39">
        <v>1</v>
      </c>
      <c r="ED53" s="39">
        <v>0</v>
      </c>
      <c r="EE53" s="39">
        <v>0</v>
      </c>
      <c r="EF53" s="39">
        <v>1</v>
      </c>
      <c r="EG53" s="39">
        <v>1</v>
      </c>
      <c r="EH53" s="39">
        <v>0</v>
      </c>
      <c r="EI53" s="39">
        <v>0</v>
      </c>
      <c r="EJ53" s="39">
        <v>3</v>
      </c>
      <c r="EK53" s="39">
        <v>0</v>
      </c>
      <c r="EL53" s="39">
        <v>2</v>
      </c>
      <c r="EM53" s="39">
        <v>3.5</v>
      </c>
      <c r="EN53" s="39">
        <v>3.4</v>
      </c>
      <c r="EO53" s="39">
        <v>15.7</v>
      </c>
      <c r="EP53" s="39"/>
    </row>
    <row r="54" spans="1:146" x14ac:dyDescent="0.25">
      <c r="A54" s="39">
        <v>6424</v>
      </c>
      <c r="B54" s="39" t="s">
        <v>264</v>
      </c>
      <c r="C54" s="39">
        <v>9</v>
      </c>
      <c r="D54" s="39">
        <v>3</v>
      </c>
      <c r="E54" s="39">
        <v>2</v>
      </c>
      <c r="F54" s="39">
        <v>3</v>
      </c>
      <c r="G54" s="39">
        <v>7</v>
      </c>
      <c r="H54" s="39">
        <v>0</v>
      </c>
      <c r="I54" s="39">
        <v>0</v>
      </c>
      <c r="J54" s="39">
        <v>0</v>
      </c>
      <c r="K54" s="39">
        <v>0</v>
      </c>
      <c r="L54" s="39">
        <v>99.9</v>
      </c>
      <c r="M54" s="39">
        <v>0.111</v>
      </c>
      <c r="N54" s="39">
        <v>0.111</v>
      </c>
      <c r="O54" s="39">
        <v>1</v>
      </c>
      <c r="P54" s="39">
        <v>1</v>
      </c>
      <c r="Q54" s="39">
        <v>0</v>
      </c>
      <c r="R54" s="39">
        <v>0</v>
      </c>
      <c r="S54" s="39">
        <v>0</v>
      </c>
      <c r="T54" s="39">
        <v>0</v>
      </c>
      <c r="U54" s="39">
        <v>0</v>
      </c>
      <c r="V54" s="39">
        <v>0.33300000000000002</v>
      </c>
      <c r="W54" s="39">
        <v>0</v>
      </c>
      <c r="X54" s="39">
        <v>0</v>
      </c>
      <c r="Y54" s="39">
        <v>0</v>
      </c>
      <c r="Z54" s="39">
        <v>0</v>
      </c>
      <c r="AA54" s="39">
        <v>0</v>
      </c>
      <c r="AB54" s="39">
        <v>0.222</v>
      </c>
      <c r="AC54" s="39">
        <v>0</v>
      </c>
      <c r="AD54" s="39">
        <v>0</v>
      </c>
      <c r="AE54" s="39">
        <v>0</v>
      </c>
      <c r="AF54" s="39">
        <v>0</v>
      </c>
      <c r="AG54" s="39">
        <v>0</v>
      </c>
      <c r="AH54" s="39">
        <v>73</v>
      </c>
      <c r="AI54" s="39">
        <v>8.1110000000000007</v>
      </c>
      <c r="AJ54" s="39">
        <v>13</v>
      </c>
      <c r="AK54" s="39">
        <v>13</v>
      </c>
      <c r="AL54" s="39">
        <v>1.444</v>
      </c>
      <c r="AM54" s="39">
        <v>100</v>
      </c>
      <c r="AN54" s="39">
        <v>0.33300000000000002</v>
      </c>
      <c r="AO54" s="39">
        <v>0.33300000000000002</v>
      </c>
      <c r="AP54" s="39">
        <v>3</v>
      </c>
      <c r="AQ54" s="39">
        <v>3</v>
      </c>
      <c r="AR54" s="39">
        <v>47</v>
      </c>
      <c r="AS54" s="39">
        <v>5.2220000000000004</v>
      </c>
      <c r="AT54" s="39">
        <v>10</v>
      </c>
      <c r="AU54" s="39">
        <v>1.111</v>
      </c>
      <c r="AV54" s="39">
        <v>88.888999999999996</v>
      </c>
      <c r="AW54" s="39">
        <v>1.778</v>
      </c>
      <c r="AX54" s="39">
        <v>2</v>
      </c>
      <c r="AY54" s="39">
        <v>16</v>
      </c>
      <c r="AZ54" s="39">
        <v>18</v>
      </c>
      <c r="BA54" s="39">
        <v>100</v>
      </c>
      <c r="BB54" s="39">
        <v>0.44400000000000001</v>
      </c>
      <c r="BC54" s="39">
        <v>0.44400000000000001</v>
      </c>
      <c r="BD54" s="39">
        <v>4</v>
      </c>
      <c r="BE54" s="39">
        <v>4</v>
      </c>
      <c r="BF54" s="39">
        <v>81.25</v>
      </c>
      <c r="BG54" s="39">
        <v>1.444</v>
      </c>
      <c r="BH54" s="39">
        <v>1.778</v>
      </c>
      <c r="BI54" s="39">
        <v>13</v>
      </c>
      <c r="BJ54" s="39">
        <v>16</v>
      </c>
      <c r="BK54" s="39">
        <v>60</v>
      </c>
      <c r="BL54" s="39">
        <v>0.33300000000000002</v>
      </c>
      <c r="BM54" s="39">
        <v>0.55600000000000005</v>
      </c>
      <c r="BN54" s="39">
        <v>3</v>
      </c>
      <c r="BO54" s="39">
        <v>5</v>
      </c>
      <c r="BP54" s="39">
        <v>100</v>
      </c>
      <c r="BQ54" s="39">
        <v>4.1109999999999998</v>
      </c>
      <c r="BR54" s="39">
        <v>4.1109999999999998</v>
      </c>
      <c r="BS54" s="39">
        <v>37</v>
      </c>
      <c r="BT54" s="39">
        <v>37</v>
      </c>
      <c r="BU54" s="39">
        <v>73</v>
      </c>
      <c r="BV54" s="39">
        <v>8.1110000000000007</v>
      </c>
      <c r="BW54" s="39">
        <v>13</v>
      </c>
      <c r="BX54" s="39">
        <v>2</v>
      </c>
      <c r="BY54" s="39">
        <v>0.222</v>
      </c>
      <c r="BZ54" s="39">
        <v>0</v>
      </c>
      <c r="CA54" s="39">
        <v>0</v>
      </c>
      <c r="CB54" s="39">
        <v>0</v>
      </c>
      <c r="CC54" s="39">
        <v>22</v>
      </c>
      <c r="CD54" s="39">
        <v>2</v>
      </c>
      <c r="CE54" s="39">
        <v>0</v>
      </c>
      <c r="CF54" s="39">
        <v>100</v>
      </c>
      <c r="CG54" s="39">
        <v>3</v>
      </c>
      <c r="CH54" s="39">
        <v>3</v>
      </c>
      <c r="CI54" s="39">
        <v>0</v>
      </c>
      <c r="CJ54" s="39">
        <v>0</v>
      </c>
      <c r="CK54" s="39">
        <v>0</v>
      </c>
      <c r="CL54" s="39">
        <v>0</v>
      </c>
      <c r="CM54" s="39">
        <v>0</v>
      </c>
      <c r="CN54" s="39">
        <v>0</v>
      </c>
      <c r="CO54" s="39">
        <v>0</v>
      </c>
      <c r="CP54" s="39">
        <v>2</v>
      </c>
      <c r="CQ54" s="39">
        <v>0</v>
      </c>
      <c r="CR54" s="39">
        <v>4.5709999999999997</v>
      </c>
      <c r="CS54" s="39">
        <v>4.4000000000000004</v>
      </c>
      <c r="CT54" s="39">
        <v>3.863</v>
      </c>
      <c r="CU54" s="39">
        <v>6.4169999999999998</v>
      </c>
      <c r="CV54" s="39">
        <v>13</v>
      </c>
      <c r="CW54" s="39">
        <v>0</v>
      </c>
      <c r="CX54" s="39">
        <v>7</v>
      </c>
      <c r="CY54" s="39">
        <v>0</v>
      </c>
      <c r="CZ54" s="39">
        <v>0</v>
      </c>
      <c r="DA54" s="39">
        <v>10.75</v>
      </c>
      <c r="DB54" s="39">
        <v>0</v>
      </c>
      <c r="DC54" s="39">
        <v>8.2330000000000005</v>
      </c>
      <c r="DD54" s="39">
        <v>7</v>
      </c>
      <c r="DE54" s="39">
        <v>4</v>
      </c>
      <c r="DF54" s="39">
        <v>13</v>
      </c>
      <c r="DG54" s="39">
        <v>0</v>
      </c>
      <c r="DH54" s="39">
        <v>11</v>
      </c>
      <c r="DI54" s="39">
        <v>5</v>
      </c>
      <c r="DJ54" s="39">
        <v>25</v>
      </c>
      <c r="DK54" s="39">
        <v>8</v>
      </c>
      <c r="DL54" s="39">
        <v>2</v>
      </c>
      <c r="DM54" s="39">
        <v>0</v>
      </c>
      <c r="DN54" s="39">
        <v>1</v>
      </c>
      <c r="DO54" s="39">
        <v>0</v>
      </c>
      <c r="DP54" s="39">
        <v>0</v>
      </c>
      <c r="DQ54" s="39">
        <v>3</v>
      </c>
      <c r="DR54" s="39">
        <v>0</v>
      </c>
      <c r="DS54" s="39">
        <v>10</v>
      </c>
      <c r="DT54" s="39">
        <v>1</v>
      </c>
      <c r="DU54" s="39">
        <v>1</v>
      </c>
      <c r="DV54" s="39">
        <v>1</v>
      </c>
      <c r="DW54" s="39">
        <v>0</v>
      </c>
      <c r="DX54" s="39">
        <v>3</v>
      </c>
      <c r="DY54" s="39">
        <v>5</v>
      </c>
      <c r="DZ54" s="39">
        <v>7</v>
      </c>
      <c r="EA54" s="39">
        <v>4</v>
      </c>
      <c r="EB54" s="39">
        <v>1</v>
      </c>
      <c r="EC54" s="39">
        <v>0</v>
      </c>
      <c r="ED54" s="39">
        <v>1</v>
      </c>
      <c r="EE54" s="39">
        <v>0</v>
      </c>
      <c r="EF54" s="39">
        <v>0</v>
      </c>
      <c r="EG54" s="39">
        <v>2</v>
      </c>
      <c r="EH54" s="39">
        <v>0</v>
      </c>
      <c r="EI54" s="39">
        <v>3</v>
      </c>
      <c r="EJ54" s="39">
        <v>1</v>
      </c>
      <c r="EK54" s="39">
        <v>1</v>
      </c>
      <c r="EL54" s="39">
        <v>1</v>
      </c>
      <c r="EM54" s="39">
        <v>3.222</v>
      </c>
      <c r="EN54" s="39">
        <v>0</v>
      </c>
      <c r="EO54" s="39">
        <v>16.222000000000001</v>
      </c>
      <c r="EP54" s="39"/>
    </row>
    <row r="55" spans="1:146" x14ac:dyDescent="0.25">
      <c r="A55" s="39">
        <v>6474</v>
      </c>
      <c r="B55" s="39" t="s">
        <v>265</v>
      </c>
      <c r="C55" s="39">
        <v>9</v>
      </c>
      <c r="D55" s="39">
        <v>5</v>
      </c>
      <c r="E55" s="39">
        <v>3</v>
      </c>
      <c r="F55" s="39">
        <v>1</v>
      </c>
      <c r="G55" s="39">
        <v>9</v>
      </c>
      <c r="H55" s="39">
        <v>0</v>
      </c>
      <c r="I55" s="39">
        <v>0</v>
      </c>
      <c r="J55" s="39">
        <v>0</v>
      </c>
      <c r="K55" s="39">
        <v>0</v>
      </c>
      <c r="L55" s="39">
        <v>99.9</v>
      </c>
      <c r="M55" s="39">
        <v>0.33300000000000002</v>
      </c>
      <c r="N55" s="39">
        <v>0.33300000000000002</v>
      </c>
      <c r="O55" s="39">
        <v>3</v>
      </c>
      <c r="P55" s="39">
        <v>3</v>
      </c>
      <c r="Q55" s="39">
        <v>50</v>
      </c>
      <c r="R55" s="39">
        <v>0.222</v>
      </c>
      <c r="S55" s="39">
        <v>0.44400000000000001</v>
      </c>
      <c r="T55" s="39">
        <v>2</v>
      </c>
      <c r="U55" s="39">
        <v>4</v>
      </c>
      <c r="V55" s="39">
        <v>0.222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9">
        <v>0.222</v>
      </c>
      <c r="AC55" s="39">
        <v>0</v>
      </c>
      <c r="AD55" s="39">
        <v>0</v>
      </c>
      <c r="AE55" s="39">
        <v>0</v>
      </c>
      <c r="AF55" s="39">
        <v>0</v>
      </c>
      <c r="AG55" s="39">
        <v>0</v>
      </c>
      <c r="AH55" s="39">
        <v>46</v>
      </c>
      <c r="AI55" s="39">
        <v>5.1109999999999998</v>
      </c>
      <c r="AJ55" s="39">
        <v>9</v>
      </c>
      <c r="AK55" s="39">
        <v>9</v>
      </c>
      <c r="AL55" s="39">
        <v>1</v>
      </c>
      <c r="AM55" s="39">
        <v>100</v>
      </c>
      <c r="AN55" s="39">
        <v>0.111</v>
      </c>
      <c r="AO55" s="39">
        <v>0.111</v>
      </c>
      <c r="AP55" s="39">
        <v>1</v>
      </c>
      <c r="AQ55" s="39">
        <v>1</v>
      </c>
      <c r="AR55" s="39">
        <v>14</v>
      </c>
      <c r="AS55" s="39">
        <v>1.556</v>
      </c>
      <c r="AT55" s="39">
        <v>22</v>
      </c>
      <c r="AU55" s="39">
        <v>2.444</v>
      </c>
      <c r="AV55" s="39">
        <v>75</v>
      </c>
      <c r="AW55" s="39">
        <v>0.66700000000000004</v>
      </c>
      <c r="AX55" s="39">
        <v>0.88900000000000001</v>
      </c>
      <c r="AY55" s="39">
        <v>6</v>
      </c>
      <c r="AZ55" s="39">
        <v>8</v>
      </c>
      <c r="BA55" s="39">
        <v>80</v>
      </c>
      <c r="BB55" s="39">
        <v>0.44400000000000001</v>
      </c>
      <c r="BC55" s="39">
        <v>0.55600000000000005</v>
      </c>
      <c r="BD55" s="39">
        <v>4</v>
      </c>
      <c r="BE55" s="39">
        <v>5</v>
      </c>
      <c r="BF55" s="39">
        <v>80</v>
      </c>
      <c r="BG55" s="39">
        <v>0.88900000000000001</v>
      </c>
      <c r="BH55" s="39">
        <v>1.111</v>
      </c>
      <c r="BI55" s="39">
        <v>8</v>
      </c>
      <c r="BJ55" s="39">
        <v>10</v>
      </c>
      <c r="BK55" s="39">
        <v>90.909000000000006</v>
      </c>
      <c r="BL55" s="39">
        <v>2.222</v>
      </c>
      <c r="BM55" s="39">
        <v>2.444</v>
      </c>
      <c r="BN55" s="39">
        <v>20</v>
      </c>
      <c r="BO55" s="39">
        <v>22</v>
      </c>
      <c r="BP55" s="39">
        <v>100</v>
      </c>
      <c r="BQ55" s="39">
        <v>1.667</v>
      </c>
      <c r="BR55" s="39">
        <v>1.667</v>
      </c>
      <c r="BS55" s="39">
        <v>15</v>
      </c>
      <c r="BT55" s="39">
        <v>15</v>
      </c>
      <c r="BU55" s="39">
        <v>53</v>
      </c>
      <c r="BV55" s="39">
        <v>5.8890000000000002</v>
      </c>
      <c r="BW55" s="39">
        <v>12</v>
      </c>
      <c r="BX55" s="39">
        <v>1</v>
      </c>
      <c r="BY55" s="39">
        <v>0.111</v>
      </c>
      <c r="BZ55" s="39">
        <v>0</v>
      </c>
      <c r="CA55" s="39">
        <v>0</v>
      </c>
      <c r="CB55" s="39">
        <v>0</v>
      </c>
      <c r="CC55" s="39">
        <v>11</v>
      </c>
      <c r="CD55" s="39">
        <v>3</v>
      </c>
      <c r="CE55" s="39">
        <v>0</v>
      </c>
      <c r="CF55" s="39">
        <v>100</v>
      </c>
      <c r="CG55" s="39">
        <v>5</v>
      </c>
      <c r="CH55" s="39">
        <v>5</v>
      </c>
      <c r="CI55" s="39">
        <v>0</v>
      </c>
      <c r="CJ55" s="39">
        <v>0</v>
      </c>
      <c r="CK55" s="39">
        <v>0</v>
      </c>
      <c r="CL55" s="39">
        <v>0</v>
      </c>
      <c r="CM55" s="39">
        <v>0</v>
      </c>
      <c r="CN55" s="39">
        <v>0</v>
      </c>
      <c r="CO55" s="39">
        <v>0</v>
      </c>
      <c r="CP55" s="39">
        <v>1</v>
      </c>
      <c r="CQ55" s="39">
        <v>8.6669999999999998</v>
      </c>
      <c r="CR55" s="39">
        <v>3.5</v>
      </c>
      <c r="CS55" s="39">
        <v>0</v>
      </c>
      <c r="CT55" s="39">
        <v>3.3340000000000001</v>
      </c>
      <c r="CU55" s="39">
        <v>7.9420000000000002</v>
      </c>
      <c r="CV55" s="39">
        <v>0</v>
      </c>
      <c r="CW55" s="39">
        <v>0</v>
      </c>
      <c r="CX55" s="39">
        <v>0</v>
      </c>
      <c r="CY55" s="39">
        <v>7</v>
      </c>
      <c r="CZ55" s="39">
        <v>0</v>
      </c>
      <c r="DA55" s="39">
        <v>0</v>
      </c>
      <c r="DB55" s="39">
        <v>0</v>
      </c>
      <c r="DC55" s="39">
        <v>6.9169999999999998</v>
      </c>
      <c r="DD55" s="39">
        <v>0</v>
      </c>
      <c r="DE55" s="39">
        <v>0</v>
      </c>
      <c r="DF55" s="39">
        <v>2.5</v>
      </c>
      <c r="DG55" s="39">
        <v>3</v>
      </c>
      <c r="DH55" s="39">
        <v>2</v>
      </c>
      <c r="DI55" s="39">
        <v>0</v>
      </c>
      <c r="DJ55" s="39">
        <v>7</v>
      </c>
      <c r="DK55" s="39">
        <v>21</v>
      </c>
      <c r="DL55" s="39">
        <v>0</v>
      </c>
      <c r="DM55" s="39">
        <v>0</v>
      </c>
      <c r="DN55" s="39">
        <v>0</v>
      </c>
      <c r="DO55" s="39">
        <v>1</v>
      </c>
      <c r="DP55" s="39">
        <v>0</v>
      </c>
      <c r="DQ55" s="39">
        <v>0</v>
      </c>
      <c r="DR55" s="39">
        <v>0</v>
      </c>
      <c r="DS55" s="39">
        <v>5</v>
      </c>
      <c r="DT55" s="39">
        <v>0</v>
      </c>
      <c r="DU55" s="39">
        <v>0</v>
      </c>
      <c r="DV55" s="39">
        <v>2</v>
      </c>
      <c r="DW55" s="39">
        <v>1</v>
      </c>
      <c r="DX55" s="39">
        <v>2</v>
      </c>
      <c r="DY55" s="39">
        <v>0</v>
      </c>
      <c r="DZ55" s="39">
        <v>6</v>
      </c>
      <c r="EA55" s="39">
        <v>5</v>
      </c>
      <c r="EB55" s="39">
        <v>0</v>
      </c>
      <c r="EC55" s="39">
        <v>0</v>
      </c>
      <c r="ED55" s="39">
        <v>0</v>
      </c>
      <c r="EE55" s="39">
        <v>1</v>
      </c>
      <c r="EF55" s="39">
        <v>0</v>
      </c>
      <c r="EG55" s="39">
        <v>0</v>
      </c>
      <c r="EH55" s="39">
        <v>0</v>
      </c>
      <c r="EI55" s="39">
        <v>3</v>
      </c>
      <c r="EJ55" s="39">
        <v>0</v>
      </c>
      <c r="EK55" s="39">
        <v>0</v>
      </c>
      <c r="EL55" s="39">
        <v>1</v>
      </c>
      <c r="EM55" s="39">
        <v>2.8889999999999998</v>
      </c>
      <c r="EN55" s="39">
        <v>0</v>
      </c>
      <c r="EO55" s="39">
        <v>11</v>
      </c>
      <c r="EP55" s="39"/>
    </row>
    <row r="56" spans="1:146" x14ac:dyDescent="0.25">
      <c r="A56" s="39">
        <v>6508</v>
      </c>
      <c r="B56" s="39" t="s">
        <v>266</v>
      </c>
      <c r="C56" s="39">
        <v>10</v>
      </c>
      <c r="D56" s="39">
        <v>0</v>
      </c>
      <c r="E56" s="39">
        <v>7</v>
      </c>
      <c r="F56" s="39">
        <v>3</v>
      </c>
      <c r="G56" s="39">
        <v>10</v>
      </c>
      <c r="H56" s="39">
        <v>0</v>
      </c>
      <c r="I56" s="39">
        <v>0</v>
      </c>
      <c r="J56" s="39">
        <v>0</v>
      </c>
      <c r="K56" s="39">
        <v>0</v>
      </c>
      <c r="L56" s="39">
        <v>87.5</v>
      </c>
      <c r="M56" s="39">
        <v>0.7</v>
      </c>
      <c r="N56" s="39">
        <v>0.8</v>
      </c>
      <c r="O56" s="39">
        <v>7</v>
      </c>
      <c r="P56" s="39">
        <v>8</v>
      </c>
      <c r="Q56" s="39">
        <v>0</v>
      </c>
      <c r="R56" s="39">
        <v>0</v>
      </c>
      <c r="S56" s="39">
        <v>0.1</v>
      </c>
      <c r="T56" s="39">
        <v>0</v>
      </c>
      <c r="U56" s="39">
        <v>1</v>
      </c>
      <c r="V56" s="39">
        <v>0.1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9">
        <v>0.4</v>
      </c>
      <c r="AC56" s="39">
        <v>0</v>
      </c>
      <c r="AD56" s="39">
        <v>0</v>
      </c>
      <c r="AE56" s="39">
        <v>0</v>
      </c>
      <c r="AF56" s="39">
        <v>0</v>
      </c>
      <c r="AG56" s="39">
        <v>0</v>
      </c>
      <c r="AH56" s="39">
        <v>50</v>
      </c>
      <c r="AI56" s="39">
        <v>5</v>
      </c>
      <c r="AJ56" s="39">
        <v>9</v>
      </c>
      <c r="AK56" s="39">
        <v>17</v>
      </c>
      <c r="AL56" s="39">
        <v>1.7</v>
      </c>
      <c r="AM56" s="39">
        <v>100</v>
      </c>
      <c r="AN56" s="39">
        <v>0.3</v>
      </c>
      <c r="AO56" s="39">
        <v>0.3</v>
      </c>
      <c r="AP56" s="39">
        <v>3</v>
      </c>
      <c r="AQ56" s="39">
        <v>3</v>
      </c>
      <c r="AR56" s="39">
        <v>14</v>
      </c>
      <c r="AS56" s="39">
        <v>1.4</v>
      </c>
      <c r="AT56" s="39">
        <v>16</v>
      </c>
      <c r="AU56" s="39">
        <v>1.6</v>
      </c>
      <c r="AV56" s="39">
        <v>92.856999999999999</v>
      </c>
      <c r="AW56" s="39">
        <v>1.3</v>
      </c>
      <c r="AX56" s="39">
        <v>1.4</v>
      </c>
      <c r="AY56" s="39">
        <v>13</v>
      </c>
      <c r="AZ56" s="39">
        <v>14</v>
      </c>
      <c r="BA56" s="39">
        <v>100</v>
      </c>
      <c r="BB56" s="39">
        <v>1</v>
      </c>
      <c r="BC56" s="39">
        <v>1</v>
      </c>
      <c r="BD56" s="39">
        <v>10</v>
      </c>
      <c r="BE56" s="39">
        <v>10</v>
      </c>
      <c r="BF56" s="39">
        <v>83.332999999999998</v>
      </c>
      <c r="BG56" s="39">
        <v>0.5</v>
      </c>
      <c r="BH56" s="39">
        <v>0.6</v>
      </c>
      <c r="BI56" s="39">
        <v>5</v>
      </c>
      <c r="BJ56" s="39">
        <v>6</v>
      </c>
      <c r="BK56" s="39">
        <v>33.332999999999998</v>
      </c>
      <c r="BL56" s="39">
        <v>0.2</v>
      </c>
      <c r="BM56" s="39">
        <v>0.6</v>
      </c>
      <c r="BN56" s="39">
        <v>2</v>
      </c>
      <c r="BO56" s="39">
        <v>6</v>
      </c>
      <c r="BP56" s="39">
        <v>91.667000000000002</v>
      </c>
      <c r="BQ56" s="39">
        <v>1.1000000000000001</v>
      </c>
      <c r="BR56" s="39">
        <v>1.2</v>
      </c>
      <c r="BS56" s="39">
        <v>11</v>
      </c>
      <c r="BT56" s="39">
        <v>12</v>
      </c>
      <c r="BU56" s="39">
        <v>41</v>
      </c>
      <c r="BV56" s="39">
        <v>4.0999999999999996</v>
      </c>
      <c r="BW56" s="39">
        <v>7</v>
      </c>
      <c r="BX56" s="39">
        <v>2</v>
      </c>
      <c r="BY56" s="39">
        <v>0.2</v>
      </c>
      <c r="BZ56" s="39">
        <v>0</v>
      </c>
      <c r="CA56" s="39">
        <v>0</v>
      </c>
      <c r="CB56" s="39">
        <v>0</v>
      </c>
      <c r="CC56" s="39">
        <v>1</v>
      </c>
      <c r="CD56" s="39">
        <v>2</v>
      </c>
      <c r="CE56" s="39">
        <v>0</v>
      </c>
      <c r="CF56" s="39">
        <v>100</v>
      </c>
      <c r="CG56" s="39">
        <v>7</v>
      </c>
      <c r="CH56" s="39">
        <v>7</v>
      </c>
      <c r="CI56" s="39">
        <v>0</v>
      </c>
      <c r="CJ56" s="39">
        <v>0</v>
      </c>
      <c r="CK56" s="39">
        <v>0</v>
      </c>
      <c r="CL56" s="39">
        <v>0</v>
      </c>
      <c r="CM56" s="39">
        <v>0</v>
      </c>
      <c r="CN56" s="39">
        <v>0</v>
      </c>
      <c r="CO56" s="39">
        <v>0</v>
      </c>
      <c r="CP56" s="39">
        <v>1</v>
      </c>
      <c r="CQ56" s="39">
        <v>0</v>
      </c>
      <c r="CR56" s="39">
        <v>8.9169999999999998</v>
      </c>
      <c r="CS56" s="39">
        <v>0</v>
      </c>
      <c r="CT56" s="39">
        <v>5.556</v>
      </c>
      <c r="CU56" s="39">
        <v>8</v>
      </c>
      <c r="CV56" s="39">
        <v>8.5</v>
      </c>
      <c r="CW56" s="39">
        <v>7.0839999999999996</v>
      </c>
      <c r="CX56" s="39">
        <v>13</v>
      </c>
      <c r="CY56" s="39">
        <v>0</v>
      </c>
      <c r="CZ56" s="39">
        <v>0</v>
      </c>
      <c r="DA56" s="39">
        <v>7.3330000000000002</v>
      </c>
      <c r="DB56" s="39">
        <v>0</v>
      </c>
      <c r="DC56" s="39">
        <v>10.555999999999999</v>
      </c>
      <c r="DD56" s="39">
        <v>5</v>
      </c>
      <c r="DE56" s="39">
        <v>0</v>
      </c>
      <c r="DF56" s="39">
        <v>6.5</v>
      </c>
      <c r="DG56" s="39">
        <v>0</v>
      </c>
      <c r="DH56" s="39">
        <v>7</v>
      </c>
      <c r="DI56" s="39">
        <v>0</v>
      </c>
      <c r="DJ56" s="39">
        <v>8</v>
      </c>
      <c r="DK56" s="39">
        <v>6</v>
      </c>
      <c r="DL56" s="39">
        <v>4</v>
      </c>
      <c r="DM56" s="39">
        <v>5</v>
      </c>
      <c r="DN56" s="39">
        <v>1</v>
      </c>
      <c r="DO56" s="39">
        <v>0</v>
      </c>
      <c r="DP56" s="39">
        <v>0</v>
      </c>
      <c r="DQ56" s="39">
        <v>3</v>
      </c>
      <c r="DR56" s="39">
        <v>0</v>
      </c>
      <c r="DS56" s="39">
        <v>5</v>
      </c>
      <c r="DT56" s="39">
        <v>2</v>
      </c>
      <c r="DU56" s="39">
        <v>0</v>
      </c>
      <c r="DV56" s="39">
        <v>2</v>
      </c>
      <c r="DW56" s="39">
        <v>0</v>
      </c>
      <c r="DX56" s="39">
        <v>4</v>
      </c>
      <c r="DY56" s="39">
        <v>0</v>
      </c>
      <c r="DZ56" s="39">
        <v>4</v>
      </c>
      <c r="EA56" s="39">
        <v>2</v>
      </c>
      <c r="EB56" s="39">
        <v>2</v>
      </c>
      <c r="EC56" s="39">
        <v>3</v>
      </c>
      <c r="ED56" s="39">
        <v>1</v>
      </c>
      <c r="EE56" s="39">
        <v>0</v>
      </c>
      <c r="EF56" s="39">
        <v>0</v>
      </c>
      <c r="EG56" s="39">
        <v>3</v>
      </c>
      <c r="EH56" s="39">
        <v>0</v>
      </c>
      <c r="EI56" s="39">
        <v>3</v>
      </c>
      <c r="EJ56" s="39">
        <v>1</v>
      </c>
      <c r="EK56" s="39">
        <v>0</v>
      </c>
      <c r="EL56" s="39">
        <v>1</v>
      </c>
      <c r="EM56" s="39">
        <v>2.7</v>
      </c>
      <c r="EN56" s="39">
        <v>3</v>
      </c>
      <c r="EO56" s="39">
        <v>9.1</v>
      </c>
      <c r="EP56" s="39"/>
    </row>
    <row r="57" spans="1:146" x14ac:dyDescent="0.25">
      <c r="A57" s="39">
        <v>6510</v>
      </c>
      <c r="B57" s="39" t="s">
        <v>267</v>
      </c>
      <c r="C57" s="39">
        <v>10</v>
      </c>
      <c r="D57" s="39">
        <v>3</v>
      </c>
      <c r="E57" s="39">
        <v>7</v>
      </c>
      <c r="F57" s="39">
        <v>0</v>
      </c>
      <c r="G57" s="39">
        <v>10</v>
      </c>
      <c r="H57" s="39">
        <v>1</v>
      </c>
      <c r="I57" s="39">
        <v>0.1</v>
      </c>
      <c r="J57" s="39">
        <v>0</v>
      </c>
      <c r="K57" s="39">
        <v>0</v>
      </c>
      <c r="L57" s="39">
        <v>100</v>
      </c>
      <c r="M57" s="39">
        <v>0.8</v>
      </c>
      <c r="N57" s="39">
        <v>0.8</v>
      </c>
      <c r="O57" s="39">
        <v>8</v>
      </c>
      <c r="P57" s="39">
        <v>8</v>
      </c>
      <c r="Q57" s="39">
        <v>0</v>
      </c>
      <c r="R57" s="39">
        <v>0</v>
      </c>
      <c r="S57" s="39">
        <v>0.1</v>
      </c>
      <c r="T57" s="39">
        <v>0</v>
      </c>
      <c r="U57" s="39">
        <v>1</v>
      </c>
      <c r="V57" s="39">
        <v>0.4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0.1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57</v>
      </c>
      <c r="AI57" s="39">
        <v>5.7</v>
      </c>
      <c r="AJ57" s="39">
        <v>10</v>
      </c>
      <c r="AK57" s="39">
        <v>2</v>
      </c>
      <c r="AL57" s="39">
        <v>0.2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40</v>
      </c>
      <c r="AS57" s="39">
        <v>4</v>
      </c>
      <c r="AT57" s="39">
        <v>15</v>
      </c>
      <c r="AU57" s="39">
        <v>1.5</v>
      </c>
      <c r="AV57" s="39">
        <v>50</v>
      </c>
      <c r="AW57" s="39">
        <v>0.6</v>
      </c>
      <c r="AX57" s="39">
        <v>1.2</v>
      </c>
      <c r="AY57" s="39">
        <v>6</v>
      </c>
      <c r="AZ57" s="39">
        <v>12</v>
      </c>
      <c r="BA57" s="39">
        <v>66.667000000000002</v>
      </c>
      <c r="BB57" s="39">
        <v>0.4</v>
      </c>
      <c r="BC57" s="39">
        <v>0.6</v>
      </c>
      <c r="BD57" s="39">
        <v>4</v>
      </c>
      <c r="BE57" s="39">
        <v>6</v>
      </c>
      <c r="BF57" s="39">
        <v>50</v>
      </c>
      <c r="BG57" s="39">
        <v>0.4</v>
      </c>
      <c r="BH57" s="39">
        <v>0.8</v>
      </c>
      <c r="BI57" s="39">
        <v>4</v>
      </c>
      <c r="BJ57" s="39">
        <v>8</v>
      </c>
      <c r="BK57" s="39">
        <v>50</v>
      </c>
      <c r="BL57" s="39">
        <v>0.1</v>
      </c>
      <c r="BM57" s="39">
        <v>0.2</v>
      </c>
      <c r="BN57" s="39">
        <v>1</v>
      </c>
      <c r="BO57" s="39">
        <v>2</v>
      </c>
      <c r="BP57" s="39">
        <v>96.875</v>
      </c>
      <c r="BQ57" s="39">
        <v>3.1</v>
      </c>
      <c r="BR57" s="39">
        <v>3.2</v>
      </c>
      <c r="BS57" s="39">
        <v>31</v>
      </c>
      <c r="BT57" s="39">
        <v>32</v>
      </c>
      <c r="BU57" s="39">
        <v>46</v>
      </c>
      <c r="BV57" s="39">
        <v>4.5999999999999996</v>
      </c>
      <c r="BW57" s="39">
        <v>9</v>
      </c>
      <c r="BX57" s="39">
        <v>2</v>
      </c>
      <c r="BY57" s="39">
        <v>0.2</v>
      </c>
      <c r="BZ57" s="39">
        <v>0</v>
      </c>
      <c r="CA57" s="39">
        <v>0</v>
      </c>
      <c r="CB57" s="39">
        <v>0</v>
      </c>
      <c r="CC57" s="39">
        <v>22</v>
      </c>
      <c r="CD57" s="39">
        <v>1</v>
      </c>
      <c r="CE57" s="39">
        <v>0</v>
      </c>
      <c r="CF57" s="39">
        <v>50</v>
      </c>
      <c r="CG57" s="39">
        <v>2</v>
      </c>
      <c r="CH57" s="39">
        <v>4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3</v>
      </c>
      <c r="CQ57" s="39">
        <v>5</v>
      </c>
      <c r="CR57" s="39">
        <v>7.75</v>
      </c>
      <c r="CS57" s="39">
        <v>0</v>
      </c>
      <c r="CT57" s="39">
        <v>5.6859999999999999</v>
      </c>
      <c r="CU57" s="39">
        <v>7.5</v>
      </c>
      <c r="CV57" s="39">
        <v>7</v>
      </c>
      <c r="CW57" s="39">
        <v>6.375</v>
      </c>
      <c r="CX57" s="39">
        <v>20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15</v>
      </c>
      <c r="DF57" s="39">
        <v>6</v>
      </c>
      <c r="DG57" s="39">
        <v>1</v>
      </c>
      <c r="DH57" s="39">
        <v>5</v>
      </c>
      <c r="DI57" s="39">
        <v>0</v>
      </c>
      <c r="DJ57" s="39">
        <v>25</v>
      </c>
      <c r="DK57" s="39">
        <v>7</v>
      </c>
      <c r="DL57" s="39">
        <v>2</v>
      </c>
      <c r="DM57" s="39">
        <v>5</v>
      </c>
      <c r="DN57" s="39">
        <v>1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1</v>
      </c>
      <c r="DV57" s="39">
        <v>4</v>
      </c>
      <c r="DW57" s="39">
        <v>1</v>
      </c>
      <c r="DX57" s="39">
        <v>4</v>
      </c>
      <c r="DY57" s="39">
        <v>0</v>
      </c>
      <c r="DZ57" s="39">
        <v>8</v>
      </c>
      <c r="EA57" s="39">
        <v>4</v>
      </c>
      <c r="EB57" s="39">
        <v>2</v>
      </c>
      <c r="EC57" s="39">
        <v>4</v>
      </c>
      <c r="ED57" s="39">
        <v>1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1</v>
      </c>
      <c r="EL57" s="39">
        <v>4</v>
      </c>
      <c r="EM57" s="39">
        <v>2.9</v>
      </c>
      <c r="EN57" s="39">
        <v>0</v>
      </c>
      <c r="EO57" s="39">
        <v>10.3</v>
      </c>
      <c r="EP57" s="39"/>
    </row>
    <row r="58" spans="1:146" x14ac:dyDescent="0.25">
      <c r="A58" s="39">
        <v>6645</v>
      </c>
      <c r="B58" s="39" t="s">
        <v>207</v>
      </c>
      <c r="C58" s="39">
        <v>10</v>
      </c>
      <c r="D58" s="39">
        <v>4</v>
      </c>
      <c r="E58" s="39">
        <v>0</v>
      </c>
      <c r="F58" s="39">
        <v>5</v>
      </c>
      <c r="G58" s="39">
        <v>9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9">
        <v>0</v>
      </c>
      <c r="AC58" s="39">
        <v>0</v>
      </c>
      <c r="AD58" s="39">
        <v>0</v>
      </c>
      <c r="AE58" s="39">
        <v>0</v>
      </c>
      <c r="AF58" s="39">
        <v>0</v>
      </c>
      <c r="AG58" s="39">
        <v>0</v>
      </c>
      <c r="AH58" s="39">
        <v>42</v>
      </c>
      <c r="AI58" s="39">
        <v>4.2</v>
      </c>
      <c r="AJ58" s="39">
        <v>8</v>
      </c>
      <c r="AK58" s="39">
        <v>6</v>
      </c>
      <c r="AL58" s="39">
        <v>0.6</v>
      </c>
      <c r="AM58" s="39">
        <v>0</v>
      </c>
      <c r="AN58" s="39">
        <v>0</v>
      </c>
      <c r="AO58" s="39">
        <v>0</v>
      </c>
      <c r="AP58" s="39">
        <v>0</v>
      </c>
      <c r="AQ58" s="39">
        <v>0</v>
      </c>
      <c r="AR58" s="39">
        <v>36</v>
      </c>
      <c r="AS58" s="39">
        <v>3.6</v>
      </c>
      <c r="AT58" s="39">
        <v>0</v>
      </c>
      <c r="AU58" s="39">
        <v>0</v>
      </c>
      <c r="AV58" s="39">
        <v>0</v>
      </c>
      <c r="AW58" s="39">
        <v>0</v>
      </c>
      <c r="AX58" s="39">
        <v>0</v>
      </c>
      <c r="AY58" s="39">
        <v>0</v>
      </c>
      <c r="AZ58" s="39">
        <v>0</v>
      </c>
      <c r="BA58" s="39">
        <v>0</v>
      </c>
      <c r="BB58" s="39">
        <v>0</v>
      </c>
      <c r="BC58" s="39">
        <v>0</v>
      </c>
      <c r="BD58" s="39">
        <v>0</v>
      </c>
      <c r="BE58" s="39">
        <v>0</v>
      </c>
      <c r="BF58" s="39">
        <v>0</v>
      </c>
      <c r="BG58" s="39">
        <v>0</v>
      </c>
      <c r="BH58" s="39">
        <v>0</v>
      </c>
      <c r="BI58" s="39">
        <v>0</v>
      </c>
      <c r="BJ58" s="39">
        <v>0</v>
      </c>
      <c r="BK58" s="39">
        <v>0</v>
      </c>
      <c r="BL58" s="39">
        <v>0</v>
      </c>
      <c r="BM58" s="39">
        <v>0</v>
      </c>
      <c r="BN58" s="39">
        <v>0</v>
      </c>
      <c r="BO58" s="39">
        <v>0</v>
      </c>
      <c r="BP58" s="39">
        <v>95.745000000000005</v>
      </c>
      <c r="BQ58" s="39">
        <v>4.5</v>
      </c>
      <c r="BR58" s="39">
        <v>4.7</v>
      </c>
      <c r="BS58" s="39">
        <v>45</v>
      </c>
      <c r="BT58" s="39">
        <v>47</v>
      </c>
      <c r="BU58" s="39">
        <v>45</v>
      </c>
      <c r="BV58" s="39">
        <v>4.5</v>
      </c>
      <c r="BW58" s="39">
        <v>8</v>
      </c>
      <c r="BX58" s="39">
        <v>2</v>
      </c>
      <c r="BY58" s="39">
        <v>0.2</v>
      </c>
      <c r="BZ58" s="39">
        <v>0</v>
      </c>
      <c r="CA58" s="39">
        <v>0</v>
      </c>
      <c r="CB58" s="39">
        <v>0</v>
      </c>
      <c r="CC58" s="39">
        <v>0</v>
      </c>
      <c r="CD58" s="39">
        <v>0</v>
      </c>
      <c r="CE58" s="39">
        <v>0</v>
      </c>
      <c r="CF58" s="39">
        <v>0</v>
      </c>
      <c r="CG58" s="39">
        <v>0</v>
      </c>
      <c r="CH58" s="39">
        <v>0</v>
      </c>
      <c r="CI58" s="39">
        <v>0</v>
      </c>
      <c r="CJ58" s="39">
        <v>0</v>
      </c>
      <c r="CK58" s="39">
        <v>0</v>
      </c>
      <c r="CL58" s="39">
        <v>0</v>
      </c>
      <c r="CM58" s="39">
        <v>0</v>
      </c>
      <c r="CN58" s="39">
        <v>0</v>
      </c>
      <c r="CO58" s="39">
        <v>0</v>
      </c>
      <c r="CP58" s="39">
        <v>1</v>
      </c>
      <c r="CQ58" s="39">
        <v>0</v>
      </c>
      <c r="CR58" s="39">
        <v>0</v>
      </c>
      <c r="CS58" s="39">
        <v>0</v>
      </c>
      <c r="CT58" s="39">
        <v>11.096</v>
      </c>
      <c r="CU58" s="39">
        <v>0</v>
      </c>
      <c r="CV58" s="39">
        <v>0</v>
      </c>
      <c r="CW58" s="39">
        <v>0</v>
      </c>
      <c r="CX58" s="39">
        <v>0</v>
      </c>
      <c r="CY58" s="39">
        <v>0</v>
      </c>
      <c r="CZ58" s="39">
        <v>0</v>
      </c>
      <c r="DA58" s="39">
        <v>0</v>
      </c>
      <c r="DB58" s="39">
        <v>0</v>
      </c>
      <c r="DC58" s="39">
        <v>0</v>
      </c>
      <c r="DD58" s="39">
        <v>0</v>
      </c>
      <c r="DE58" s="39">
        <v>0</v>
      </c>
      <c r="DF58" s="39">
        <v>5.1669999999999998</v>
      </c>
      <c r="DG58" s="39">
        <v>0</v>
      </c>
      <c r="DH58" s="39">
        <v>0</v>
      </c>
      <c r="DI58" s="39">
        <v>0</v>
      </c>
      <c r="DJ58" s="39">
        <v>36</v>
      </c>
      <c r="DK58" s="39">
        <v>0</v>
      </c>
      <c r="DL58" s="39">
        <v>0</v>
      </c>
      <c r="DM58" s="39">
        <v>0</v>
      </c>
      <c r="DN58" s="39">
        <v>0</v>
      </c>
      <c r="DO58" s="39">
        <v>0</v>
      </c>
      <c r="DP58" s="39">
        <v>0</v>
      </c>
      <c r="DQ58" s="39">
        <v>0</v>
      </c>
      <c r="DR58" s="39">
        <v>0</v>
      </c>
      <c r="DS58" s="39">
        <v>0</v>
      </c>
      <c r="DT58" s="39">
        <v>0</v>
      </c>
      <c r="DU58" s="39">
        <v>0</v>
      </c>
      <c r="DV58" s="39">
        <v>4</v>
      </c>
      <c r="DW58" s="39">
        <v>0</v>
      </c>
      <c r="DX58" s="39">
        <v>0</v>
      </c>
      <c r="DY58" s="39">
        <v>0</v>
      </c>
      <c r="DZ58" s="39">
        <v>8</v>
      </c>
      <c r="EA58" s="39">
        <v>0</v>
      </c>
      <c r="EB58" s="39">
        <v>0</v>
      </c>
      <c r="EC58" s="39">
        <v>0</v>
      </c>
      <c r="ED58" s="39">
        <v>0</v>
      </c>
      <c r="EE58" s="39">
        <v>0</v>
      </c>
      <c r="EF58" s="39">
        <v>0</v>
      </c>
      <c r="EG58" s="39">
        <v>0</v>
      </c>
      <c r="EH58" s="39">
        <v>0</v>
      </c>
      <c r="EI58" s="39">
        <v>0</v>
      </c>
      <c r="EJ58" s="39">
        <v>0</v>
      </c>
      <c r="EK58" s="39">
        <v>0</v>
      </c>
      <c r="EL58" s="39">
        <v>2</v>
      </c>
      <c r="EM58" s="39">
        <v>2.4</v>
      </c>
      <c r="EN58" s="39">
        <v>2.3330000000000002</v>
      </c>
      <c r="EO58" s="39">
        <v>8.6999999999999993</v>
      </c>
      <c r="EP58" s="39"/>
    </row>
    <row r="59" spans="1:146" x14ac:dyDescent="0.25">
      <c r="A59" s="39">
        <v>6814</v>
      </c>
      <c r="B59" s="39" t="s">
        <v>268</v>
      </c>
      <c r="C59" s="39">
        <v>10</v>
      </c>
      <c r="D59" s="39">
        <v>4</v>
      </c>
      <c r="E59" s="39">
        <v>1</v>
      </c>
      <c r="F59" s="39">
        <v>5</v>
      </c>
      <c r="G59" s="39">
        <v>9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9">
        <v>0</v>
      </c>
      <c r="AC59" s="39">
        <v>0</v>
      </c>
      <c r="AD59" s="39">
        <v>0</v>
      </c>
      <c r="AE59" s="39">
        <v>0</v>
      </c>
      <c r="AF59" s="39">
        <v>0</v>
      </c>
      <c r="AG59" s="39">
        <v>0</v>
      </c>
      <c r="AH59" s="39">
        <v>28</v>
      </c>
      <c r="AI59" s="39">
        <v>2.8</v>
      </c>
      <c r="AJ59" s="39">
        <v>8</v>
      </c>
      <c r="AK59" s="39">
        <v>10</v>
      </c>
      <c r="AL59" s="39">
        <v>1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18</v>
      </c>
      <c r="AS59" s="39">
        <v>1.8</v>
      </c>
      <c r="AT59" s="39">
        <v>0</v>
      </c>
      <c r="AU59" s="39">
        <v>0</v>
      </c>
      <c r="AV59" s="39">
        <v>100</v>
      </c>
      <c r="AW59" s="39">
        <v>0.4</v>
      </c>
      <c r="AX59" s="39">
        <v>0.4</v>
      </c>
      <c r="AY59" s="39">
        <v>4</v>
      </c>
      <c r="AZ59" s="39">
        <v>4</v>
      </c>
      <c r="BA59" s="39">
        <v>100</v>
      </c>
      <c r="BB59" s="39">
        <v>0.1</v>
      </c>
      <c r="BC59" s="39">
        <v>0.1</v>
      </c>
      <c r="BD59" s="39">
        <v>1</v>
      </c>
      <c r="BE59" s="39">
        <v>1</v>
      </c>
      <c r="BF59" s="39">
        <v>0</v>
      </c>
      <c r="BG59" s="39">
        <v>0</v>
      </c>
      <c r="BH59" s="39">
        <v>0</v>
      </c>
      <c r="BI59" s="39">
        <v>0</v>
      </c>
      <c r="BJ59" s="39">
        <v>0</v>
      </c>
      <c r="BK59" s="39">
        <v>0</v>
      </c>
      <c r="BL59" s="39">
        <v>0</v>
      </c>
      <c r="BM59" s="39">
        <v>0</v>
      </c>
      <c r="BN59" s="39">
        <v>0</v>
      </c>
      <c r="BO59" s="39">
        <v>0</v>
      </c>
      <c r="BP59" s="39">
        <v>91.667000000000002</v>
      </c>
      <c r="BQ59" s="39">
        <v>1.1000000000000001</v>
      </c>
      <c r="BR59" s="39">
        <v>1.2</v>
      </c>
      <c r="BS59" s="39">
        <v>11</v>
      </c>
      <c r="BT59" s="39">
        <v>12</v>
      </c>
      <c r="BU59" s="39">
        <v>16</v>
      </c>
      <c r="BV59" s="39">
        <v>1.6</v>
      </c>
      <c r="BW59" s="39">
        <v>7</v>
      </c>
      <c r="BX59" s="39">
        <v>13</v>
      </c>
      <c r="BY59" s="39">
        <v>1.3</v>
      </c>
      <c r="BZ59" s="39">
        <v>0</v>
      </c>
      <c r="CA59" s="39">
        <v>0</v>
      </c>
      <c r="CB59" s="39">
        <v>0</v>
      </c>
      <c r="CC59" s="39">
        <v>0</v>
      </c>
      <c r="CD59" s="39">
        <v>0</v>
      </c>
      <c r="CE59" s="39">
        <v>0</v>
      </c>
      <c r="CF59" s="39">
        <v>0</v>
      </c>
      <c r="CG59" s="39">
        <v>0</v>
      </c>
      <c r="CH59" s="39">
        <v>0</v>
      </c>
      <c r="CI59" s="39">
        <v>0</v>
      </c>
      <c r="CJ59" s="39">
        <v>0</v>
      </c>
      <c r="CK59" s="39">
        <v>0</v>
      </c>
      <c r="CL59" s="39">
        <v>0</v>
      </c>
      <c r="CM59" s="39">
        <v>0</v>
      </c>
      <c r="CN59" s="39">
        <v>0</v>
      </c>
      <c r="CO59" s="39">
        <v>0</v>
      </c>
      <c r="CP59" s="39">
        <v>4</v>
      </c>
      <c r="CQ59" s="39">
        <v>0</v>
      </c>
      <c r="CR59" s="39">
        <v>9</v>
      </c>
      <c r="CS59" s="39">
        <v>0</v>
      </c>
      <c r="CT59" s="39">
        <v>10.861000000000001</v>
      </c>
      <c r="CU59" s="39">
        <v>9.5</v>
      </c>
      <c r="CV59" s="39">
        <v>0</v>
      </c>
      <c r="CW59" s="39">
        <v>0</v>
      </c>
      <c r="CX59" s="39">
        <v>0</v>
      </c>
      <c r="CY59" s="39">
        <v>0</v>
      </c>
      <c r="CZ59" s="39">
        <v>0</v>
      </c>
      <c r="DA59" s="39">
        <v>6</v>
      </c>
      <c r="DB59" s="39">
        <v>0</v>
      </c>
      <c r="DC59" s="39">
        <v>18</v>
      </c>
      <c r="DD59" s="39">
        <v>0</v>
      </c>
      <c r="DE59" s="39">
        <v>0</v>
      </c>
      <c r="DF59" s="39">
        <v>9.3330000000000002</v>
      </c>
      <c r="DG59" s="39">
        <v>0</v>
      </c>
      <c r="DH59" s="39">
        <v>3</v>
      </c>
      <c r="DI59" s="39">
        <v>0</v>
      </c>
      <c r="DJ59" s="39">
        <v>10</v>
      </c>
      <c r="DK59" s="39">
        <v>4</v>
      </c>
      <c r="DL59" s="39">
        <v>0</v>
      </c>
      <c r="DM59" s="39">
        <v>0</v>
      </c>
      <c r="DN59" s="39">
        <v>0</v>
      </c>
      <c r="DO59" s="39">
        <v>0</v>
      </c>
      <c r="DP59" s="39">
        <v>0</v>
      </c>
      <c r="DQ59" s="39">
        <v>1</v>
      </c>
      <c r="DR59" s="39">
        <v>0</v>
      </c>
      <c r="DS59" s="39">
        <v>1</v>
      </c>
      <c r="DT59" s="39">
        <v>0</v>
      </c>
      <c r="DU59" s="39">
        <v>0</v>
      </c>
      <c r="DV59" s="39">
        <v>4</v>
      </c>
      <c r="DW59" s="39">
        <v>0</v>
      </c>
      <c r="DX59" s="39">
        <v>1</v>
      </c>
      <c r="DY59" s="39">
        <v>0</v>
      </c>
      <c r="DZ59" s="39">
        <v>4</v>
      </c>
      <c r="EA59" s="39">
        <v>4</v>
      </c>
      <c r="EB59" s="39">
        <v>0</v>
      </c>
      <c r="EC59" s="39">
        <v>0</v>
      </c>
      <c r="ED59" s="39">
        <v>0</v>
      </c>
      <c r="EE59" s="39">
        <v>0</v>
      </c>
      <c r="EF59" s="39">
        <v>0</v>
      </c>
      <c r="EG59" s="39">
        <v>1</v>
      </c>
      <c r="EH59" s="39">
        <v>0</v>
      </c>
      <c r="EI59" s="39">
        <v>1</v>
      </c>
      <c r="EJ59" s="39">
        <v>0</v>
      </c>
      <c r="EK59" s="39">
        <v>0</v>
      </c>
      <c r="EL59" s="39">
        <v>2</v>
      </c>
      <c r="EM59" s="39">
        <v>1.7</v>
      </c>
      <c r="EN59" s="39">
        <v>2</v>
      </c>
      <c r="EO59" s="39">
        <v>4.4000000000000004</v>
      </c>
      <c r="EP59" s="39"/>
    </row>
    <row r="60" spans="1:146" x14ac:dyDescent="0.25">
      <c r="A60" s="39">
        <v>6844</v>
      </c>
      <c r="B60" s="39" t="s">
        <v>269</v>
      </c>
      <c r="C60" s="39">
        <v>10</v>
      </c>
      <c r="D60" s="39">
        <v>4</v>
      </c>
      <c r="E60" s="39">
        <v>1</v>
      </c>
      <c r="F60" s="39">
        <v>5</v>
      </c>
      <c r="G60" s="39">
        <v>9</v>
      </c>
      <c r="H60" s="39">
        <v>0</v>
      </c>
      <c r="I60" s="39">
        <v>0</v>
      </c>
      <c r="J60" s="39">
        <v>0</v>
      </c>
      <c r="K60" s="39">
        <v>0</v>
      </c>
      <c r="L60" s="39">
        <v>100</v>
      </c>
      <c r="M60" s="39">
        <v>0.1</v>
      </c>
      <c r="N60" s="39">
        <v>0.1</v>
      </c>
      <c r="O60" s="39">
        <v>1</v>
      </c>
      <c r="P60" s="39">
        <v>1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>
        <v>0</v>
      </c>
      <c r="AC60" s="39">
        <v>0</v>
      </c>
      <c r="AD60" s="39">
        <v>0</v>
      </c>
      <c r="AE60" s="39">
        <v>0</v>
      </c>
      <c r="AF60" s="39">
        <v>0</v>
      </c>
      <c r="AG60" s="39">
        <v>0</v>
      </c>
      <c r="AH60" s="39">
        <v>18</v>
      </c>
      <c r="AI60" s="39">
        <v>1.8</v>
      </c>
      <c r="AJ60" s="39">
        <v>5</v>
      </c>
      <c r="AK60" s="39">
        <v>0</v>
      </c>
      <c r="AL60" s="39">
        <v>0</v>
      </c>
      <c r="AM60" s="39">
        <v>94.736999999999995</v>
      </c>
      <c r="AN60" s="39">
        <v>1.8</v>
      </c>
      <c r="AO60" s="39">
        <v>1.9</v>
      </c>
      <c r="AP60" s="39">
        <v>18</v>
      </c>
      <c r="AQ60" s="39">
        <v>19</v>
      </c>
      <c r="AR60" s="39">
        <v>0</v>
      </c>
      <c r="AS60" s="39">
        <v>0</v>
      </c>
      <c r="AT60" s="39">
        <v>0</v>
      </c>
      <c r="AU60" s="39">
        <v>0</v>
      </c>
      <c r="AV60" s="39">
        <v>100</v>
      </c>
      <c r="AW60" s="39">
        <v>0.3</v>
      </c>
      <c r="AX60" s="39">
        <v>0.3</v>
      </c>
      <c r="AY60" s="39">
        <v>3</v>
      </c>
      <c r="AZ60" s="39">
        <v>3</v>
      </c>
      <c r="BA60" s="39">
        <v>57.895000000000003</v>
      </c>
      <c r="BB60" s="39">
        <v>1.1000000000000001</v>
      </c>
      <c r="BC60" s="39">
        <v>1.9</v>
      </c>
      <c r="BD60" s="39">
        <v>11</v>
      </c>
      <c r="BE60" s="39">
        <v>19</v>
      </c>
      <c r="BF60" s="39">
        <v>0</v>
      </c>
      <c r="BG60" s="39">
        <v>0</v>
      </c>
      <c r="BH60" s="39">
        <v>0</v>
      </c>
      <c r="BI60" s="39">
        <v>0</v>
      </c>
      <c r="BJ60" s="39">
        <v>0</v>
      </c>
      <c r="BK60" s="39">
        <v>0</v>
      </c>
      <c r="BL60" s="39">
        <v>0</v>
      </c>
      <c r="BM60" s="39">
        <v>0</v>
      </c>
      <c r="BN60" s="39">
        <v>0</v>
      </c>
      <c r="BO60" s="39">
        <v>0</v>
      </c>
      <c r="BP60" s="39">
        <v>0</v>
      </c>
      <c r="BQ60" s="39">
        <v>0</v>
      </c>
      <c r="BR60" s="39">
        <v>0</v>
      </c>
      <c r="BS60" s="39">
        <v>0</v>
      </c>
      <c r="BT60" s="39">
        <v>0</v>
      </c>
      <c r="BU60" s="39">
        <v>14</v>
      </c>
      <c r="BV60" s="39">
        <v>1.4</v>
      </c>
      <c r="BW60" s="39">
        <v>4</v>
      </c>
      <c r="BX60" s="39">
        <v>1</v>
      </c>
      <c r="BY60" s="39">
        <v>0.1</v>
      </c>
      <c r="BZ60" s="39">
        <v>0</v>
      </c>
      <c r="CA60" s="39">
        <v>0</v>
      </c>
      <c r="CB60" s="39">
        <v>0</v>
      </c>
      <c r="CC60" s="39">
        <v>0</v>
      </c>
      <c r="CD60" s="39">
        <v>0</v>
      </c>
      <c r="CE60" s="39">
        <v>0</v>
      </c>
      <c r="CF60" s="39">
        <v>0</v>
      </c>
      <c r="CG60" s="39">
        <v>0</v>
      </c>
      <c r="CH60" s="39">
        <v>0</v>
      </c>
      <c r="CI60" s="39">
        <v>0</v>
      </c>
      <c r="CJ60" s="39">
        <v>0</v>
      </c>
      <c r="CK60" s="39">
        <v>0</v>
      </c>
      <c r="CL60" s="39">
        <v>0</v>
      </c>
      <c r="CM60" s="39">
        <v>0</v>
      </c>
      <c r="CN60" s="39">
        <v>0</v>
      </c>
      <c r="CO60" s="39">
        <v>0</v>
      </c>
      <c r="CP60" s="39">
        <v>5</v>
      </c>
      <c r="CQ60" s="39">
        <v>0</v>
      </c>
      <c r="CR60" s="39">
        <v>0</v>
      </c>
      <c r="CS60" s="39">
        <v>0</v>
      </c>
      <c r="CT60" s="39">
        <v>0</v>
      </c>
      <c r="CU60" s="39">
        <v>0</v>
      </c>
      <c r="CV60" s="39">
        <v>0</v>
      </c>
      <c r="CW60" s="39">
        <v>0</v>
      </c>
      <c r="CX60" s="39">
        <v>0</v>
      </c>
      <c r="CY60" s="39">
        <v>0</v>
      </c>
      <c r="CZ60" s="39">
        <v>8</v>
      </c>
      <c r="DA60" s="39">
        <v>11.106999999999999</v>
      </c>
      <c r="DB60" s="39">
        <v>0</v>
      </c>
      <c r="DC60" s="39">
        <v>0</v>
      </c>
      <c r="DD60" s="39">
        <v>0</v>
      </c>
      <c r="DE60" s="39">
        <v>0</v>
      </c>
      <c r="DF60" s="39">
        <v>0</v>
      </c>
      <c r="DG60" s="39">
        <v>0</v>
      </c>
      <c r="DH60" s="39">
        <v>0</v>
      </c>
      <c r="DI60" s="39">
        <v>0</v>
      </c>
      <c r="DJ60" s="39">
        <v>0</v>
      </c>
      <c r="DK60" s="39">
        <v>0</v>
      </c>
      <c r="DL60" s="39">
        <v>0</v>
      </c>
      <c r="DM60" s="39">
        <v>0</v>
      </c>
      <c r="DN60" s="39">
        <v>0</v>
      </c>
      <c r="DO60" s="39">
        <v>0</v>
      </c>
      <c r="DP60" s="39">
        <v>1</v>
      </c>
      <c r="DQ60" s="39">
        <v>11</v>
      </c>
      <c r="DR60" s="39">
        <v>0</v>
      </c>
      <c r="DS60" s="39">
        <v>0</v>
      </c>
      <c r="DT60" s="39">
        <v>0</v>
      </c>
      <c r="DU60" s="39">
        <v>0</v>
      </c>
      <c r="DV60" s="39">
        <v>0</v>
      </c>
      <c r="DW60" s="39">
        <v>0</v>
      </c>
      <c r="DX60" s="39">
        <v>0</v>
      </c>
      <c r="DY60" s="39">
        <v>0</v>
      </c>
      <c r="DZ60" s="39">
        <v>0</v>
      </c>
      <c r="EA60" s="39">
        <v>0</v>
      </c>
      <c r="EB60" s="39">
        <v>0</v>
      </c>
      <c r="EC60" s="39">
        <v>0</v>
      </c>
      <c r="ED60" s="39">
        <v>0</v>
      </c>
      <c r="EE60" s="39">
        <v>0</v>
      </c>
      <c r="EF60" s="39">
        <v>1</v>
      </c>
      <c r="EG60" s="39">
        <v>5</v>
      </c>
      <c r="EH60" s="39">
        <v>0</v>
      </c>
      <c r="EI60" s="39">
        <v>0</v>
      </c>
      <c r="EJ60" s="39">
        <v>0</v>
      </c>
      <c r="EK60" s="39">
        <v>0</v>
      </c>
      <c r="EL60" s="39">
        <v>0</v>
      </c>
      <c r="EM60" s="39">
        <v>1.8</v>
      </c>
      <c r="EN60" s="39">
        <v>1.75</v>
      </c>
      <c r="EO60" s="39">
        <v>3.2</v>
      </c>
      <c r="EP60" s="39"/>
    </row>
    <row r="61" spans="1:146" x14ac:dyDescent="0.25">
      <c r="A61" s="39">
        <v>6871</v>
      </c>
      <c r="B61" s="39" t="s">
        <v>270</v>
      </c>
      <c r="C61" s="39">
        <v>10</v>
      </c>
      <c r="D61" s="39">
        <v>3</v>
      </c>
      <c r="E61" s="39">
        <v>0</v>
      </c>
      <c r="F61" s="39">
        <v>7</v>
      </c>
      <c r="G61" s="39">
        <v>9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>
        <v>0</v>
      </c>
      <c r="AC61" s="39">
        <v>0</v>
      </c>
      <c r="AD61" s="39">
        <v>0</v>
      </c>
      <c r="AE61" s="39">
        <v>0</v>
      </c>
      <c r="AF61" s="39">
        <v>0</v>
      </c>
      <c r="AG61" s="39">
        <v>0</v>
      </c>
      <c r="AH61" s="39">
        <v>16</v>
      </c>
      <c r="AI61" s="39">
        <v>1.6</v>
      </c>
      <c r="AJ61" s="39">
        <v>5</v>
      </c>
      <c r="AK61" s="39">
        <v>1</v>
      </c>
      <c r="AL61" s="39">
        <v>0.1</v>
      </c>
      <c r="AM61" s="39">
        <v>57.143000000000001</v>
      </c>
      <c r="AN61" s="39">
        <v>0.4</v>
      </c>
      <c r="AO61" s="39">
        <v>0.7</v>
      </c>
      <c r="AP61" s="39">
        <v>4</v>
      </c>
      <c r="AQ61" s="39">
        <v>7</v>
      </c>
      <c r="AR61" s="39">
        <v>8</v>
      </c>
      <c r="AS61" s="39">
        <v>0.8</v>
      </c>
      <c r="AT61" s="39">
        <v>3</v>
      </c>
      <c r="AU61" s="39">
        <v>0.3</v>
      </c>
      <c r="AV61" s="39">
        <v>63.636000000000003</v>
      </c>
      <c r="AW61" s="39">
        <v>0.7</v>
      </c>
      <c r="AX61" s="39">
        <v>1.1000000000000001</v>
      </c>
      <c r="AY61" s="39">
        <v>7</v>
      </c>
      <c r="AZ61" s="39">
        <v>11</v>
      </c>
      <c r="BA61" s="39">
        <v>100</v>
      </c>
      <c r="BB61" s="39">
        <v>0.4</v>
      </c>
      <c r="BC61" s="39">
        <v>0.4</v>
      </c>
      <c r="BD61" s="39">
        <v>4</v>
      </c>
      <c r="BE61" s="39">
        <v>4</v>
      </c>
      <c r="BF61" s="39">
        <v>0</v>
      </c>
      <c r="BG61" s="39">
        <v>0</v>
      </c>
      <c r="BH61" s="39">
        <v>0</v>
      </c>
      <c r="BI61" s="39">
        <v>0</v>
      </c>
      <c r="BJ61" s="39">
        <v>0</v>
      </c>
      <c r="BK61" s="39">
        <v>0</v>
      </c>
      <c r="BL61" s="39">
        <v>0</v>
      </c>
      <c r="BM61" s="39">
        <v>0</v>
      </c>
      <c r="BN61" s="39">
        <v>0</v>
      </c>
      <c r="BO61" s="39">
        <v>0</v>
      </c>
      <c r="BP61" s="39">
        <v>100</v>
      </c>
      <c r="BQ61" s="39">
        <v>0.8</v>
      </c>
      <c r="BR61" s="39">
        <v>0.8</v>
      </c>
      <c r="BS61" s="39">
        <v>8</v>
      </c>
      <c r="BT61" s="39">
        <v>8</v>
      </c>
      <c r="BU61" s="39">
        <v>19</v>
      </c>
      <c r="BV61" s="39">
        <v>1.9</v>
      </c>
      <c r="BW61" s="39">
        <v>6</v>
      </c>
      <c r="BX61" s="39">
        <v>4</v>
      </c>
      <c r="BY61" s="39">
        <v>0.4</v>
      </c>
      <c r="BZ61" s="39">
        <v>0</v>
      </c>
      <c r="CA61" s="39">
        <v>0</v>
      </c>
      <c r="CB61" s="39">
        <v>0</v>
      </c>
      <c r="CC61" s="39">
        <v>0</v>
      </c>
      <c r="CD61" s="39">
        <v>0</v>
      </c>
      <c r="CE61" s="39">
        <v>0</v>
      </c>
      <c r="CF61" s="39">
        <v>0</v>
      </c>
      <c r="CG61" s="39">
        <v>0</v>
      </c>
      <c r="CH61" s="39">
        <v>0</v>
      </c>
      <c r="CI61" s="39">
        <v>0</v>
      </c>
      <c r="CJ61" s="39">
        <v>0</v>
      </c>
      <c r="CK61" s="39">
        <v>0</v>
      </c>
      <c r="CL61" s="39">
        <v>0</v>
      </c>
      <c r="CM61" s="39">
        <v>0</v>
      </c>
      <c r="CN61" s="39">
        <v>0</v>
      </c>
      <c r="CO61" s="39">
        <v>0</v>
      </c>
      <c r="CP61" s="39">
        <v>2</v>
      </c>
      <c r="CQ61" s="39">
        <v>0</v>
      </c>
      <c r="CR61" s="39">
        <v>18.777999999999999</v>
      </c>
      <c r="CS61" s="39">
        <v>0</v>
      </c>
      <c r="CT61" s="39">
        <v>6.25</v>
      </c>
      <c r="CU61" s="39">
        <v>0</v>
      </c>
      <c r="CV61" s="39">
        <v>9</v>
      </c>
      <c r="CW61" s="39">
        <v>10</v>
      </c>
      <c r="CX61" s="39">
        <v>0</v>
      </c>
      <c r="CY61" s="39">
        <v>0</v>
      </c>
      <c r="CZ61" s="39">
        <v>0</v>
      </c>
      <c r="DA61" s="39">
        <v>37.5</v>
      </c>
      <c r="DB61" s="39">
        <v>0</v>
      </c>
      <c r="DC61" s="39">
        <v>0</v>
      </c>
      <c r="DD61" s="39">
        <v>0</v>
      </c>
      <c r="DE61" s="39">
        <v>0</v>
      </c>
      <c r="DF61" s="39">
        <v>0</v>
      </c>
      <c r="DG61" s="39">
        <v>0</v>
      </c>
      <c r="DH61" s="39">
        <v>5</v>
      </c>
      <c r="DI61" s="39">
        <v>0</v>
      </c>
      <c r="DJ61" s="39">
        <v>5</v>
      </c>
      <c r="DK61" s="39">
        <v>0</v>
      </c>
      <c r="DL61" s="39">
        <v>1</v>
      </c>
      <c r="DM61" s="39">
        <v>2</v>
      </c>
      <c r="DN61" s="39">
        <v>0</v>
      </c>
      <c r="DO61" s="39">
        <v>0</v>
      </c>
      <c r="DP61" s="39">
        <v>0</v>
      </c>
      <c r="DQ61" s="39">
        <v>2</v>
      </c>
      <c r="DR61" s="39">
        <v>0</v>
      </c>
      <c r="DS61" s="39">
        <v>0</v>
      </c>
      <c r="DT61" s="39">
        <v>0</v>
      </c>
      <c r="DU61" s="39">
        <v>0</v>
      </c>
      <c r="DV61" s="39">
        <v>0</v>
      </c>
      <c r="DW61" s="39">
        <v>0</v>
      </c>
      <c r="DX61" s="39">
        <v>3</v>
      </c>
      <c r="DY61" s="39">
        <v>0</v>
      </c>
      <c r="DZ61" s="39">
        <v>3</v>
      </c>
      <c r="EA61" s="39">
        <v>0</v>
      </c>
      <c r="EB61" s="39">
        <v>1</v>
      </c>
      <c r="EC61" s="39">
        <v>2</v>
      </c>
      <c r="ED61" s="39">
        <v>0</v>
      </c>
      <c r="EE61" s="39">
        <v>0</v>
      </c>
      <c r="EF61" s="39">
        <v>0</v>
      </c>
      <c r="EG61" s="39">
        <v>1</v>
      </c>
      <c r="EH61" s="39">
        <v>0</v>
      </c>
      <c r="EI61" s="39">
        <v>0</v>
      </c>
      <c r="EJ61" s="39">
        <v>0</v>
      </c>
      <c r="EK61" s="39">
        <v>0</v>
      </c>
      <c r="EL61" s="39">
        <v>0</v>
      </c>
      <c r="EM61" s="39">
        <v>1.8</v>
      </c>
      <c r="EN61" s="39">
        <v>1</v>
      </c>
      <c r="EO61" s="39">
        <v>3.5</v>
      </c>
      <c r="EP61" s="39"/>
    </row>
    <row r="62" spans="1:146" x14ac:dyDescent="0.25">
      <c r="A62" s="39">
        <v>6891</v>
      </c>
      <c r="B62" s="39" t="s">
        <v>271</v>
      </c>
      <c r="C62" s="39">
        <v>10</v>
      </c>
      <c r="D62" s="39">
        <v>6</v>
      </c>
      <c r="E62" s="39">
        <v>0</v>
      </c>
      <c r="F62" s="39">
        <v>4</v>
      </c>
      <c r="G62" s="39">
        <v>10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9">
        <v>0</v>
      </c>
      <c r="AC62" s="39">
        <v>0</v>
      </c>
      <c r="AD62" s="39">
        <v>0</v>
      </c>
      <c r="AE62" s="39">
        <v>0</v>
      </c>
      <c r="AF62" s="39">
        <v>0</v>
      </c>
      <c r="AG62" s="39">
        <v>0</v>
      </c>
      <c r="AH62" s="39">
        <v>0</v>
      </c>
      <c r="AI62" s="39">
        <v>0</v>
      </c>
      <c r="AJ62" s="39">
        <v>0</v>
      </c>
      <c r="AK62" s="39">
        <v>0</v>
      </c>
      <c r="AL62" s="39">
        <v>0</v>
      </c>
      <c r="AM62" s="39">
        <v>0</v>
      </c>
      <c r="AN62" s="39">
        <v>0</v>
      </c>
      <c r="AO62" s="39">
        <v>0</v>
      </c>
      <c r="AP62" s="39">
        <v>0</v>
      </c>
      <c r="AQ62" s="39">
        <v>0</v>
      </c>
      <c r="AR62" s="39">
        <v>0</v>
      </c>
      <c r="AS62" s="39">
        <v>0</v>
      </c>
      <c r="AT62" s="39">
        <v>0</v>
      </c>
      <c r="AU62" s="39">
        <v>0</v>
      </c>
      <c r="AV62" s="39">
        <v>100</v>
      </c>
      <c r="AW62" s="39">
        <v>0.3</v>
      </c>
      <c r="AX62" s="39">
        <v>0.3</v>
      </c>
      <c r="AY62" s="39">
        <v>3</v>
      </c>
      <c r="AZ62" s="39">
        <v>3</v>
      </c>
      <c r="BA62" s="39">
        <v>0</v>
      </c>
      <c r="BB62" s="39">
        <v>0</v>
      </c>
      <c r="BC62" s="39">
        <v>0</v>
      </c>
      <c r="BD62" s="39">
        <v>0</v>
      </c>
      <c r="BE62" s="39">
        <v>0</v>
      </c>
      <c r="BF62" s="39">
        <v>0</v>
      </c>
      <c r="BG62" s="39">
        <v>0</v>
      </c>
      <c r="BH62" s="39">
        <v>0</v>
      </c>
      <c r="BI62" s="39">
        <v>0</v>
      </c>
      <c r="BJ62" s="39">
        <v>0</v>
      </c>
      <c r="BK62" s="39">
        <v>0</v>
      </c>
      <c r="BL62" s="39">
        <v>0</v>
      </c>
      <c r="BM62" s="39">
        <v>0</v>
      </c>
      <c r="BN62" s="39">
        <v>0</v>
      </c>
      <c r="BO62" s="39">
        <v>0</v>
      </c>
      <c r="BP62" s="39">
        <v>100</v>
      </c>
      <c r="BQ62" s="39">
        <v>0.1</v>
      </c>
      <c r="BR62" s="39">
        <v>0.1</v>
      </c>
      <c r="BS62" s="39">
        <v>1</v>
      </c>
      <c r="BT62" s="39">
        <v>1</v>
      </c>
      <c r="BU62" s="39">
        <v>4</v>
      </c>
      <c r="BV62" s="39">
        <v>0.4</v>
      </c>
      <c r="BW62" s="39">
        <v>1</v>
      </c>
      <c r="BX62" s="39">
        <v>4</v>
      </c>
      <c r="BY62" s="39">
        <v>0.4</v>
      </c>
      <c r="BZ62" s="39">
        <v>0</v>
      </c>
      <c r="CA62" s="39">
        <v>0</v>
      </c>
      <c r="CB62" s="39">
        <v>0</v>
      </c>
      <c r="CC62" s="39">
        <v>0</v>
      </c>
      <c r="CD62" s="39">
        <v>0</v>
      </c>
      <c r="CE62" s="39">
        <v>0</v>
      </c>
      <c r="CF62" s="39">
        <v>0</v>
      </c>
      <c r="CG62" s="39">
        <v>0</v>
      </c>
      <c r="CH62" s="39">
        <v>0</v>
      </c>
      <c r="CI62" s="39">
        <v>100</v>
      </c>
      <c r="CJ62" s="39">
        <v>1</v>
      </c>
      <c r="CK62" s="39">
        <v>1</v>
      </c>
      <c r="CL62" s="39">
        <v>0</v>
      </c>
      <c r="CM62" s="39">
        <v>0</v>
      </c>
      <c r="CN62" s="39">
        <v>0</v>
      </c>
      <c r="CO62" s="39">
        <v>0</v>
      </c>
      <c r="CP62" s="39">
        <v>4</v>
      </c>
      <c r="CQ62" s="39">
        <v>0</v>
      </c>
      <c r="CR62" s="39">
        <v>0</v>
      </c>
      <c r="CS62" s="39">
        <v>0</v>
      </c>
      <c r="CT62" s="39">
        <v>0</v>
      </c>
      <c r="CU62" s="39">
        <v>0</v>
      </c>
      <c r="CV62" s="39">
        <v>0</v>
      </c>
      <c r="CW62" s="39">
        <v>0</v>
      </c>
      <c r="CX62" s="39">
        <v>0</v>
      </c>
      <c r="CY62" s="39">
        <v>0</v>
      </c>
      <c r="CZ62" s="39">
        <v>0</v>
      </c>
      <c r="DA62" s="39">
        <v>0</v>
      </c>
      <c r="DB62" s="39">
        <v>0</v>
      </c>
      <c r="DC62" s="39">
        <v>0</v>
      </c>
      <c r="DD62" s="39">
        <v>0</v>
      </c>
      <c r="DE62" s="39">
        <v>0</v>
      </c>
      <c r="DF62" s="39">
        <v>0</v>
      </c>
      <c r="DG62" s="39">
        <v>0</v>
      </c>
      <c r="DH62" s="39">
        <v>0</v>
      </c>
      <c r="DI62" s="39">
        <v>0</v>
      </c>
      <c r="DJ62" s="39">
        <v>0</v>
      </c>
      <c r="DK62" s="39">
        <v>0</v>
      </c>
      <c r="DL62" s="39">
        <v>0</v>
      </c>
      <c r="DM62" s="39">
        <v>0</v>
      </c>
      <c r="DN62" s="39">
        <v>0</v>
      </c>
      <c r="DO62" s="39">
        <v>0</v>
      </c>
      <c r="DP62" s="39">
        <v>0</v>
      </c>
      <c r="DQ62" s="39">
        <v>0</v>
      </c>
      <c r="DR62" s="39">
        <v>0</v>
      </c>
      <c r="DS62" s="39">
        <v>0</v>
      </c>
      <c r="DT62" s="39">
        <v>0</v>
      </c>
      <c r="DU62" s="39">
        <v>0</v>
      </c>
      <c r="DV62" s="39">
        <v>0</v>
      </c>
      <c r="DW62" s="39">
        <v>0</v>
      </c>
      <c r="DX62" s="39">
        <v>0</v>
      </c>
      <c r="DY62" s="39">
        <v>0</v>
      </c>
      <c r="DZ62" s="39">
        <v>0</v>
      </c>
      <c r="EA62" s="39">
        <v>0</v>
      </c>
      <c r="EB62" s="39">
        <v>0</v>
      </c>
      <c r="EC62" s="39">
        <v>0</v>
      </c>
      <c r="ED62" s="39">
        <v>0</v>
      </c>
      <c r="EE62" s="39">
        <v>0</v>
      </c>
      <c r="EF62" s="39">
        <v>0</v>
      </c>
      <c r="EG62" s="39">
        <v>0</v>
      </c>
      <c r="EH62" s="39">
        <v>0</v>
      </c>
      <c r="EI62" s="39">
        <v>0</v>
      </c>
      <c r="EJ62" s="39">
        <v>0</v>
      </c>
      <c r="EK62" s="39">
        <v>0</v>
      </c>
      <c r="EL62" s="39">
        <v>0</v>
      </c>
      <c r="EM62" s="39">
        <v>1.8</v>
      </c>
      <c r="EN62" s="39">
        <v>2.8570000000000002</v>
      </c>
      <c r="EO62" s="39">
        <v>0.4</v>
      </c>
      <c r="EP62" s="39"/>
    </row>
    <row r="63" spans="1:146" x14ac:dyDescent="0.25">
      <c r="A63" s="39">
        <v>7067</v>
      </c>
      <c r="B63" s="39" t="s">
        <v>272</v>
      </c>
      <c r="C63" s="39">
        <v>9</v>
      </c>
      <c r="D63" s="39">
        <v>3</v>
      </c>
      <c r="E63" s="39">
        <v>0</v>
      </c>
      <c r="F63" s="39">
        <v>6</v>
      </c>
      <c r="G63" s="39">
        <v>9</v>
      </c>
      <c r="H63" s="39">
        <v>0</v>
      </c>
      <c r="I63" s="39">
        <v>0</v>
      </c>
      <c r="J63" s="39">
        <v>0</v>
      </c>
      <c r="K63" s="39">
        <v>0</v>
      </c>
      <c r="L63" s="39">
        <v>99.9</v>
      </c>
      <c r="M63" s="39">
        <v>0.222</v>
      </c>
      <c r="N63" s="39">
        <v>0.222</v>
      </c>
      <c r="O63" s="39">
        <v>2</v>
      </c>
      <c r="P63" s="39">
        <v>2</v>
      </c>
      <c r="Q63" s="39">
        <v>0</v>
      </c>
      <c r="R63" s="39">
        <v>0</v>
      </c>
      <c r="S63" s="39">
        <v>0</v>
      </c>
      <c r="T63" s="39">
        <v>0</v>
      </c>
      <c r="U63" s="39">
        <v>0</v>
      </c>
      <c r="V63" s="39">
        <v>0</v>
      </c>
      <c r="W63" s="39">
        <v>0</v>
      </c>
      <c r="X63" s="39">
        <v>0</v>
      </c>
      <c r="Y63" s="39">
        <v>0</v>
      </c>
      <c r="Z63" s="39">
        <v>0</v>
      </c>
      <c r="AA63" s="39">
        <v>0</v>
      </c>
      <c r="AB63" s="39">
        <v>0</v>
      </c>
      <c r="AC63" s="39">
        <v>0</v>
      </c>
      <c r="AD63" s="39">
        <v>0</v>
      </c>
      <c r="AE63" s="39">
        <v>0</v>
      </c>
      <c r="AF63" s="39">
        <v>0</v>
      </c>
      <c r="AG63" s="39">
        <v>0</v>
      </c>
      <c r="AH63" s="39">
        <v>46</v>
      </c>
      <c r="AI63" s="39">
        <v>5.1109999999999998</v>
      </c>
      <c r="AJ63" s="39">
        <v>11</v>
      </c>
      <c r="AK63" s="39">
        <v>8</v>
      </c>
      <c r="AL63" s="39">
        <v>0.88900000000000001</v>
      </c>
      <c r="AM63" s="39">
        <v>100</v>
      </c>
      <c r="AN63" s="39">
        <v>1.333</v>
      </c>
      <c r="AO63" s="39">
        <v>1.333</v>
      </c>
      <c r="AP63" s="39">
        <v>12</v>
      </c>
      <c r="AQ63" s="39">
        <v>12</v>
      </c>
      <c r="AR63" s="39">
        <v>23</v>
      </c>
      <c r="AS63" s="39">
        <v>2.556</v>
      </c>
      <c r="AT63" s="39">
        <v>3</v>
      </c>
      <c r="AU63" s="39">
        <v>0.33300000000000002</v>
      </c>
      <c r="AV63" s="39">
        <v>81.817999999999998</v>
      </c>
      <c r="AW63" s="39">
        <v>1</v>
      </c>
      <c r="AX63" s="39">
        <v>1.222</v>
      </c>
      <c r="AY63" s="39">
        <v>9</v>
      </c>
      <c r="AZ63" s="39">
        <v>11</v>
      </c>
      <c r="BA63" s="39">
        <v>33.332999999999998</v>
      </c>
      <c r="BB63" s="39">
        <v>0.111</v>
      </c>
      <c r="BC63" s="39">
        <v>0.33300000000000002</v>
      </c>
      <c r="BD63" s="39">
        <v>1</v>
      </c>
      <c r="BE63" s="39">
        <v>3</v>
      </c>
      <c r="BF63" s="39">
        <v>0</v>
      </c>
      <c r="BG63" s="39">
        <v>0</v>
      </c>
      <c r="BH63" s="39">
        <v>0</v>
      </c>
      <c r="BI63" s="39">
        <v>0</v>
      </c>
      <c r="BJ63" s="39">
        <v>0</v>
      </c>
      <c r="BK63" s="39">
        <v>0</v>
      </c>
      <c r="BL63" s="39">
        <v>0</v>
      </c>
      <c r="BM63" s="39">
        <v>0</v>
      </c>
      <c r="BN63" s="39">
        <v>0</v>
      </c>
      <c r="BO63" s="39">
        <v>0</v>
      </c>
      <c r="BP63" s="39">
        <v>96.97</v>
      </c>
      <c r="BQ63" s="39">
        <v>3.556</v>
      </c>
      <c r="BR63" s="39">
        <v>3.6669999999999998</v>
      </c>
      <c r="BS63" s="39">
        <v>32</v>
      </c>
      <c r="BT63" s="39">
        <v>33</v>
      </c>
      <c r="BU63" s="39">
        <v>42</v>
      </c>
      <c r="BV63" s="39">
        <v>4.6669999999999998</v>
      </c>
      <c r="BW63" s="39">
        <v>10</v>
      </c>
      <c r="BX63" s="39">
        <v>5</v>
      </c>
      <c r="BY63" s="39">
        <v>0.55600000000000005</v>
      </c>
      <c r="BZ63" s="39">
        <v>0</v>
      </c>
      <c r="CA63" s="39">
        <v>0</v>
      </c>
      <c r="CB63" s="39">
        <v>0</v>
      </c>
      <c r="CC63" s="39">
        <v>0</v>
      </c>
      <c r="CD63" s="39">
        <v>0</v>
      </c>
      <c r="CE63" s="39">
        <v>0</v>
      </c>
      <c r="CF63" s="39">
        <v>0</v>
      </c>
      <c r="CG63" s="39">
        <v>0</v>
      </c>
      <c r="CH63" s="39">
        <v>0</v>
      </c>
      <c r="CI63" s="39">
        <v>0</v>
      </c>
      <c r="CJ63" s="39">
        <v>0</v>
      </c>
      <c r="CK63" s="39">
        <v>0</v>
      </c>
      <c r="CL63" s="39">
        <v>0</v>
      </c>
      <c r="CM63" s="39">
        <v>0</v>
      </c>
      <c r="CN63" s="39">
        <v>0</v>
      </c>
      <c r="CO63" s="39">
        <v>0</v>
      </c>
      <c r="CP63" s="39">
        <v>2</v>
      </c>
      <c r="CQ63" s="39">
        <v>0</v>
      </c>
      <c r="CR63" s="39">
        <v>0</v>
      </c>
      <c r="CS63" s="39">
        <v>0</v>
      </c>
      <c r="CT63" s="39">
        <v>5.7549999999999999</v>
      </c>
      <c r="CU63" s="39">
        <v>0</v>
      </c>
      <c r="CV63" s="39">
        <v>0</v>
      </c>
      <c r="CW63" s="39">
        <v>0</v>
      </c>
      <c r="CX63" s="39">
        <v>0</v>
      </c>
      <c r="CY63" s="39">
        <v>0</v>
      </c>
      <c r="CZ63" s="39">
        <v>0</v>
      </c>
      <c r="DA63" s="39">
        <v>5.5</v>
      </c>
      <c r="DB63" s="39">
        <v>0</v>
      </c>
      <c r="DC63" s="39">
        <v>0</v>
      </c>
      <c r="DD63" s="39">
        <v>10</v>
      </c>
      <c r="DE63" s="39">
        <v>0</v>
      </c>
      <c r="DF63" s="39">
        <v>10.209</v>
      </c>
      <c r="DG63" s="39">
        <v>0</v>
      </c>
      <c r="DH63" s="39">
        <v>0</v>
      </c>
      <c r="DI63" s="39">
        <v>0</v>
      </c>
      <c r="DJ63" s="39">
        <v>23</v>
      </c>
      <c r="DK63" s="39">
        <v>0</v>
      </c>
      <c r="DL63" s="39">
        <v>0</v>
      </c>
      <c r="DM63" s="39">
        <v>0</v>
      </c>
      <c r="DN63" s="39">
        <v>0</v>
      </c>
      <c r="DO63" s="39">
        <v>0</v>
      </c>
      <c r="DP63" s="39">
        <v>0</v>
      </c>
      <c r="DQ63" s="39">
        <v>4</v>
      </c>
      <c r="DR63" s="39">
        <v>0</v>
      </c>
      <c r="DS63" s="39">
        <v>0</v>
      </c>
      <c r="DT63" s="39">
        <v>1</v>
      </c>
      <c r="DU63" s="39">
        <v>0</v>
      </c>
      <c r="DV63" s="39">
        <v>7</v>
      </c>
      <c r="DW63" s="39">
        <v>0</v>
      </c>
      <c r="DX63" s="39">
        <v>0</v>
      </c>
      <c r="DY63" s="39">
        <v>0</v>
      </c>
      <c r="DZ63" s="39">
        <v>9</v>
      </c>
      <c r="EA63" s="39">
        <v>0</v>
      </c>
      <c r="EB63" s="39">
        <v>0</v>
      </c>
      <c r="EC63" s="39">
        <v>0</v>
      </c>
      <c r="ED63" s="39">
        <v>0</v>
      </c>
      <c r="EE63" s="39">
        <v>0</v>
      </c>
      <c r="EF63" s="39">
        <v>0</v>
      </c>
      <c r="EG63" s="39">
        <v>3</v>
      </c>
      <c r="EH63" s="39">
        <v>0</v>
      </c>
      <c r="EI63" s="39">
        <v>0</v>
      </c>
      <c r="EJ63" s="39">
        <v>1</v>
      </c>
      <c r="EK63" s="39">
        <v>0</v>
      </c>
      <c r="EL63" s="39">
        <v>4</v>
      </c>
      <c r="EM63" s="39">
        <v>2.556</v>
      </c>
      <c r="EN63" s="39">
        <v>2</v>
      </c>
      <c r="EO63" s="39">
        <v>9.7780000000000005</v>
      </c>
      <c r="EP63" s="39"/>
    </row>
    <row r="64" spans="1:146" x14ac:dyDescent="0.25">
      <c r="A64" s="39">
        <v>7128</v>
      </c>
      <c r="B64" s="39" t="s">
        <v>273</v>
      </c>
      <c r="C64" s="39">
        <v>10</v>
      </c>
      <c r="D64" s="39">
        <v>4</v>
      </c>
      <c r="E64" s="39">
        <v>1</v>
      </c>
      <c r="F64" s="39">
        <v>5</v>
      </c>
      <c r="G64" s="39">
        <v>10</v>
      </c>
      <c r="H64" s="39">
        <v>0</v>
      </c>
      <c r="I64" s="39">
        <v>0</v>
      </c>
      <c r="J64" s="39">
        <v>0</v>
      </c>
      <c r="K64" s="39">
        <v>0</v>
      </c>
      <c r="L64" s="39">
        <v>100</v>
      </c>
      <c r="M64" s="39">
        <v>0.1</v>
      </c>
      <c r="N64" s="39">
        <v>0.1</v>
      </c>
      <c r="O64" s="39">
        <v>1</v>
      </c>
      <c r="P64" s="39">
        <v>1</v>
      </c>
      <c r="Q64" s="39">
        <v>0</v>
      </c>
      <c r="R64" s="39">
        <v>0</v>
      </c>
      <c r="S64" s="39">
        <v>0</v>
      </c>
      <c r="T64" s="39">
        <v>0</v>
      </c>
      <c r="U64" s="39">
        <v>0</v>
      </c>
      <c r="V64" s="39">
        <v>0.1</v>
      </c>
      <c r="W64" s="39">
        <v>0</v>
      </c>
      <c r="X64" s="39">
        <v>0</v>
      </c>
      <c r="Y64" s="39">
        <v>0</v>
      </c>
      <c r="Z64" s="39">
        <v>0</v>
      </c>
      <c r="AA64" s="39">
        <v>0</v>
      </c>
      <c r="AB64" s="39">
        <v>0</v>
      </c>
      <c r="AC64" s="39">
        <v>0</v>
      </c>
      <c r="AD64" s="39">
        <v>0</v>
      </c>
      <c r="AE64" s="39">
        <v>0</v>
      </c>
      <c r="AF64" s="39">
        <v>0</v>
      </c>
      <c r="AG64" s="39">
        <v>0</v>
      </c>
      <c r="AH64" s="39">
        <v>43</v>
      </c>
      <c r="AI64" s="39">
        <v>4.3</v>
      </c>
      <c r="AJ64" s="39">
        <v>7</v>
      </c>
      <c r="AK64" s="39">
        <v>20</v>
      </c>
      <c r="AL64" s="39">
        <v>2</v>
      </c>
      <c r="AM64" s="39">
        <v>100</v>
      </c>
      <c r="AN64" s="39">
        <v>0.4</v>
      </c>
      <c r="AO64" s="39">
        <v>0.4</v>
      </c>
      <c r="AP64" s="39">
        <v>4</v>
      </c>
      <c r="AQ64" s="39">
        <v>4</v>
      </c>
      <c r="AR64" s="39">
        <v>12</v>
      </c>
      <c r="AS64" s="39">
        <v>1.2</v>
      </c>
      <c r="AT64" s="39">
        <v>7</v>
      </c>
      <c r="AU64" s="39">
        <v>0.7</v>
      </c>
      <c r="AV64" s="39">
        <v>66.667000000000002</v>
      </c>
      <c r="AW64" s="39">
        <v>0.8</v>
      </c>
      <c r="AX64" s="39">
        <v>1.2</v>
      </c>
      <c r="AY64" s="39">
        <v>8</v>
      </c>
      <c r="AZ64" s="39">
        <v>12</v>
      </c>
      <c r="BA64" s="39">
        <v>80</v>
      </c>
      <c r="BB64" s="39">
        <v>0.4</v>
      </c>
      <c r="BC64" s="39">
        <v>0.5</v>
      </c>
      <c r="BD64" s="39">
        <v>4</v>
      </c>
      <c r="BE64" s="39">
        <v>5</v>
      </c>
      <c r="BF64" s="39">
        <v>66.667000000000002</v>
      </c>
      <c r="BG64" s="39">
        <v>0.2</v>
      </c>
      <c r="BH64" s="39">
        <v>0.3</v>
      </c>
      <c r="BI64" s="39">
        <v>2</v>
      </c>
      <c r="BJ64" s="39">
        <v>3</v>
      </c>
      <c r="BK64" s="39">
        <v>0</v>
      </c>
      <c r="BL64" s="39">
        <v>0</v>
      </c>
      <c r="BM64" s="39">
        <v>0</v>
      </c>
      <c r="BN64" s="39">
        <v>0</v>
      </c>
      <c r="BO64" s="39">
        <v>0</v>
      </c>
      <c r="BP64" s="39">
        <v>100</v>
      </c>
      <c r="BQ64" s="39">
        <v>1.8</v>
      </c>
      <c r="BR64" s="39">
        <v>1.8</v>
      </c>
      <c r="BS64" s="39">
        <v>18</v>
      </c>
      <c r="BT64" s="39">
        <v>18</v>
      </c>
      <c r="BU64" s="39">
        <v>32</v>
      </c>
      <c r="BV64" s="39">
        <v>3.2</v>
      </c>
      <c r="BW64" s="39">
        <v>7</v>
      </c>
      <c r="BX64" s="39">
        <v>7</v>
      </c>
      <c r="BY64" s="39">
        <v>0.7</v>
      </c>
      <c r="BZ64" s="39">
        <v>0</v>
      </c>
      <c r="CA64" s="39">
        <v>0</v>
      </c>
      <c r="CB64" s="39">
        <v>0</v>
      </c>
      <c r="CC64" s="39">
        <v>0</v>
      </c>
      <c r="CD64" s="39">
        <v>0</v>
      </c>
      <c r="CE64" s="39">
        <v>0</v>
      </c>
      <c r="CF64" s="39">
        <v>0</v>
      </c>
      <c r="CG64" s="39">
        <v>0</v>
      </c>
      <c r="CH64" s="39">
        <v>0</v>
      </c>
      <c r="CI64" s="39">
        <v>0</v>
      </c>
      <c r="CJ64" s="39">
        <v>0</v>
      </c>
      <c r="CK64" s="39">
        <v>0</v>
      </c>
      <c r="CL64" s="39">
        <v>0</v>
      </c>
      <c r="CM64" s="39">
        <v>0</v>
      </c>
      <c r="CN64" s="39">
        <v>0</v>
      </c>
      <c r="CO64" s="39">
        <v>0</v>
      </c>
      <c r="CP64" s="39">
        <v>0</v>
      </c>
      <c r="CQ64" s="39">
        <v>0</v>
      </c>
      <c r="CR64" s="39">
        <v>9.5</v>
      </c>
      <c r="CS64" s="39">
        <v>0</v>
      </c>
      <c r="CT64" s="39">
        <v>10.833</v>
      </c>
      <c r="CU64" s="39">
        <v>0</v>
      </c>
      <c r="CV64" s="39">
        <v>16</v>
      </c>
      <c r="CW64" s="39">
        <v>0</v>
      </c>
      <c r="CX64" s="39">
        <v>0</v>
      </c>
      <c r="CY64" s="39">
        <v>0</v>
      </c>
      <c r="CZ64" s="39">
        <v>0</v>
      </c>
      <c r="DA64" s="39">
        <v>20.667000000000002</v>
      </c>
      <c r="DB64" s="39">
        <v>0</v>
      </c>
      <c r="DC64" s="39">
        <v>0</v>
      </c>
      <c r="DD64" s="39">
        <v>11.222</v>
      </c>
      <c r="DE64" s="39">
        <v>6</v>
      </c>
      <c r="DF64" s="39">
        <v>9.9499999999999993</v>
      </c>
      <c r="DG64" s="39">
        <v>0</v>
      </c>
      <c r="DH64" s="39">
        <v>2</v>
      </c>
      <c r="DI64" s="39">
        <v>0</v>
      </c>
      <c r="DJ64" s="39">
        <v>6</v>
      </c>
      <c r="DK64" s="39">
        <v>0</v>
      </c>
      <c r="DL64" s="39">
        <v>3</v>
      </c>
      <c r="DM64" s="39">
        <v>0</v>
      </c>
      <c r="DN64" s="39">
        <v>0</v>
      </c>
      <c r="DO64" s="39">
        <v>0</v>
      </c>
      <c r="DP64" s="39">
        <v>0</v>
      </c>
      <c r="DQ64" s="39">
        <v>3</v>
      </c>
      <c r="DR64" s="39">
        <v>0</v>
      </c>
      <c r="DS64" s="39">
        <v>0</v>
      </c>
      <c r="DT64" s="39">
        <v>7</v>
      </c>
      <c r="DU64" s="39">
        <v>2</v>
      </c>
      <c r="DV64" s="39">
        <v>8</v>
      </c>
      <c r="DW64" s="39">
        <v>0</v>
      </c>
      <c r="DX64" s="39">
        <v>2</v>
      </c>
      <c r="DY64" s="39">
        <v>0</v>
      </c>
      <c r="DZ64" s="39">
        <v>3</v>
      </c>
      <c r="EA64" s="39">
        <v>0</v>
      </c>
      <c r="EB64" s="39">
        <v>2</v>
      </c>
      <c r="EC64" s="39">
        <v>0</v>
      </c>
      <c r="ED64" s="39">
        <v>0</v>
      </c>
      <c r="EE64" s="39">
        <v>0</v>
      </c>
      <c r="EF64" s="39">
        <v>0</v>
      </c>
      <c r="EG64" s="39">
        <v>3</v>
      </c>
      <c r="EH64" s="39">
        <v>0</v>
      </c>
      <c r="EI64" s="39">
        <v>0</v>
      </c>
      <c r="EJ64" s="39">
        <v>3</v>
      </c>
      <c r="EK64" s="39">
        <v>2</v>
      </c>
      <c r="EL64" s="39">
        <v>5</v>
      </c>
      <c r="EM64" s="39">
        <v>2</v>
      </c>
      <c r="EN64" s="39">
        <v>0</v>
      </c>
      <c r="EO64" s="39">
        <v>7.5</v>
      </c>
      <c r="EP64" s="39"/>
    </row>
    <row r="65" spans="1:146" x14ac:dyDescent="0.25">
      <c r="A65" s="39">
        <v>7134</v>
      </c>
      <c r="B65" s="39" t="s">
        <v>274</v>
      </c>
      <c r="C65" s="39">
        <v>10</v>
      </c>
      <c r="D65" s="39">
        <v>2</v>
      </c>
      <c r="E65" s="39">
        <v>0</v>
      </c>
      <c r="F65" s="39">
        <v>8</v>
      </c>
      <c r="G65" s="39">
        <v>10</v>
      </c>
      <c r="H65" s="39">
        <v>0</v>
      </c>
      <c r="I65" s="39">
        <v>0</v>
      </c>
      <c r="J65" s="39">
        <v>0</v>
      </c>
      <c r="K65" s="39">
        <v>0</v>
      </c>
      <c r="L65" s="39">
        <v>0</v>
      </c>
      <c r="M65" s="39">
        <v>0</v>
      </c>
      <c r="N65" s="39">
        <v>0</v>
      </c>
      <c r="O65" s="39">
        <v>0</v>
      </c>
      <c r="P65" s="39">
        <v>0</v>
      </c>
      <c r="Q65" s="39">
        <v>0</v>
      </c>
      <c r="R65" s="39">
        <v>0</v>
      </c>
      <c r="S65" s="39">
        <v>0</v>
      </c>
      <c r="T65" s="39">
        <v>0</v>
      </c>
      <c r="U65" s="39">
        <v>0</v>
      </c>
      <c r="V65" s="39">
        <v>0</v>
      </c>
      <c r="W65" s="39">
        <v>0</v>
      </c>
      <c r="X65" s="39">
        <v>0</v>
      </c>
      <c r="Y65" s="39">
        <v>0</v>
      </c>
      <c r="Z65" s="39">
        <v>0</v>
      </c>
      <c r="AA65" s="39">
        <v>0</v>
      </c>
      <c r="AB65" s="39">
        <v>0</v>
      </c>
      <c r="AC65" s="39">
        <v>0</v>
      </c>
      <c r="AD65" s="39">
        <v>0</v>
      </c>
      <c r="AE65" s="39">
        <v>0</v>
      </c>
      <c r="AF65" s="39">
        <v>0</v>
      </c>
      <c r="AG65" s="39">
        <v>0</v>
      </c>
      <c r="AH65" s="39">
        <v>19</v>
      </c>
      <c r="AI65" s="39">
        <v>1.9</v>
      </c>
      <c r="AJ65" s="39">
        <v>5</v>
      </c>
      <c r="AK65" s="39">
        <v>3</v>
      </c>
      <c r="AL65" s="39">
        <v>0.3</v>
      </c>
      <c r="AM65" s="39">
        <v>100</v>
      </c>
      <c r="AN65" s="39">
        <v>0.2</v>
      </c>
      <c r="AO65" s="39">
        <v>0.2</v>
      </c>
      <c r="AP65" s="39">
        <v>2</v>
      </c>
      <c r="AQ65" s="39">
        <v>2</v>
      </c>
      <c r="AR65" s="39">
        <v>14</v>
      </c>
      <c r="AS65" s="39">
        <v>1.4</v>
      </c>
      <c r="AT65" s="39">
        <v>0</v>
      </c>
      <c r="AU65" s="39">
        <v>0</v>
      </c>
      <c r="AV65" s="39">
        <v>100</v>
      </c>
      <c r="AW65" s="39">
        <v>0.6</v>
      </c>
      <c r="AX65" s="39">
        <v>0.6</v>
      </c>
      <c r="AY65" s="39">
        <v>6</v>
      </c>
      <c r="AZ65" s="39">
        <v>6</v>
      </c>
      <c r="BA65" s="39">
        <v>50</v>
      </c>
      <c r="BB65" s="39">
        <v>0.1</v>
      </c>
      <c r="BC65" s="39">
        <v>0.2</v>
      </c>
      <c r="BD65" s="39">
        <v>1</v>
      </c>
      <c r="BE65" s="39">
        <v>2</v>
      </c>
      <c r="BF65" s="39">
        <v>0</v>
      </c>
      <c r="BG65" s="39">
        <v>0</v>
      </c>
      <c r="BH65" s="39">
        <v>0</v>
      </c>
      <c r="BI65" s="39">
        <v>0</v>
      </c>
      <c r="BJ65" s="39">
        <v>0</v>
      </c>
      <c r="BK65" s="39">
        <v>0</v>
      </c>
      <c r="BL65" s="39">
        <v>0</v>
      </c>
      <c r="BM65" s="39">
        <v>0</v>
      </c>
      <c r="BN65" s="39">
        <v>0</v>
      </c>
      <c r="BO65" s="39">
        <v>0</v>
      </c>
      <c r="BP65" s="39">
        <v>95.238</v>
      </c>
      <c r="BQ65" s="39">
        <v>2</v>
      </c>
      <c r="BR65" s="39">
        <v>2.1</v>
      </c>
      <c r="BS65" s="39">
        <v>20</v>
      </c>
      <c r="BT65" s="39">
        <v>21</v>
      </c>
      <c r="BU65" s="39">
        <v>27</v>
      </c>
      <c r="BV65" s="39">
        <v>2.7</v>
      </c>
      <c r="BW65" s="39">
        <v>5</v>
      </c>
      <c r="BX65" s="39">
        <v>2</v>
      </c>
      <c r="BY65" s="39">
        <v>0.2</v>
      </c>
      <c r="BZ65" s="39">
        <v>0</v>
      </c>
      <c r="CA65" s="39">
        <v>0</v>
      </c>
      <c r="CB65" s="39">
        <v>0</v>
      </c>
      <c r="CC65" s="39">
        <v>0</v>
      </c>
      <c r="CD65" s="39">
        <v>0</v>
      </c>
      <c r="CE65" s="39">
        <v>0</v>
      </c>
      <c r="CF65" s="39">
        <v>0</v>
      </c>
      <c r="CG65" s="39">
        <v>0</v>
      </c>
      <c r="CH65" s="39">
        <v>0</v>
      </c>
      <c r="CI65" s="39">
        <v>0</v>
      </c>
      <c r="CJ65" s="39">
        <v>0</v>
      </c>
      <c r="CK65" s="39">
        <v>1</v>
      </c>
      <c r="CL65" s="39">
        <v>0</v>
      </c>
      <c r="CM65" s="39">
        <v>0</v>
      </c>
      <c r="CN65" s="39">
        <v>0</v>
      </c>
      <c r="CO65" s="39">
        <v>0</v>
      </c>
      <c r="CP65" s="39">
        <v>3</v>
      </c>
      <c r="CQ65" s="39">
        <v>0</v>
      </c>
      <c r="CR65" s="39">
        <v>0</v>
      </c>
      <c r="CS65" s="39">
        <v>0</v>
      </c>
      <c r="CT65" s="39">
        <v>10.583</v>
      </c>
      <c r="CU65" s="39">
        <v>0</v>
      </c>
      <c r="CV65" s="39">
        <v>0</v>
      </c>
      <c r="CW65" s="39">
        <v>0</v>
      </c>
      <c r="CX65" s="39">
        <v>0</v>
      </c>
      <c r="CY65" s="39">
        <v>0</v>
      </c>
      <c r="CZ65" s="39">
        <v>35</v>
      </c>
      <c r="DA65" s="39">
        <v>9</v>
      </c>
      <c r="DB65" s="39">
        <v>0</v>
      </c>
      <c r="DC65" s="39">
        <v>0</v>
      </c>
      <c r="DD65" s="39">
        <v>0</v>
      </c>
      <c r="DE65" s="39">
        <v>0</v>
      </c>
      <c r="DF65" s="39">
        <v>19</v>
      </c>
      <c r="DG65" s="39">
        <v>0</v>
      </c>
      <c r="DH65" s="39">
        <v>0</v>
      </c>
      <c r="DI65" s="39">
        <v>0</v>
      </c>
      <c r="DJ65" s="39">
        <v>17</v>
      </c>
      <c r="DK65" s="39">
        <v>0</v>
      </c>
      <c r="DL65" s="39">
        <v>0</v>
      </c>
      <c r="DM65" s="39">
        <v>0</v>
      </c>
      <c r="DN65" s="39">
        <v>0</v>
      </c>
      <c r="DO65" s="39">
        <v>0</v>
      </c>
      <c r="DP65" s="39">
        <v>1</v>
      </c>
      <c r="DQ65" s="39">
        <v>1</v>
      </c>
      <c r="DR65" s="39">
        <v>0</v>
      </c>
      <c r="DS65" s="39">
        <v>0</v>
      </c>
      <c r="DT65" s="39">
        <v>0</v>
      </c>
      <c r="DU65" s="39">
        <v>0</v>
      </c>
      <c r="DV65" s="39">
        <v>2</v>
      </c>
      <c r="DW65" s="39">
        <v>0</v>
      </c>
      <c r="DX65" s="39">
        <v>0</v>
      </c>
      <c r="DY65" s="39">
        <v>0</v>
      </c>
      <c r="DZ65" s="39">
        <v>4</v>
      </c>
      <c r="EA65" s="39">
        <v>0</v>
      </c>
      <c r="EB65" s="39">
        <v>0</v>
      </c>
      <c r="EC65" s="39">
        <v>0</v>
      </c>
      <c r="ED65" s="39">
        <v>0</v>
      </c>
      <c r="EE65" s="39">
        <v>0</v>
      </c>
      <c r="EF65" s="39">
        <v>1</v>
      </c>
      <c r="EG65" s="39">
        <v>1</v>
      </c>
      <c r="EH65" s="39">
        <v>0</v>
      </c>
      <c r="EI65" s="39">
        <v>0</v>
      </c>
      <c r="EJ65" s="39">
        <v>0</v>
      </c>
      <c r="EK65" s="39">
        <v>0</v>
      </c>
      <c r="EL65" s="39">
        <v>1</v>
      </c>
      <c r="EM65" s="39">
        <v>1.8</v>
      </c>
      <c r="EN65" s="39">
        <v>3</v>
      </c>
      <c r="EO65" s="39">
        <v>4.5999999999999996</v>
      </c>
      <c r="EP65" s="39"/>
    </row>
    <row r="66" spans="1:146" x14ac:dyDescent="0.25">
      <c r="A66" s="39">
        <v>7137</v>
      </c>
      <c r="B66" s="39" t="s">
        <v>275</v>
      </c>
      <c r="C66" s="39">
        <v>10</v>
      </c>
      <c r="D66" s="39">
        <v>3</v>
      </c>
      <c r="E66" s="39">
        <v>1</v>
      </c>
      <c r="F66" s="39">
        <v>6</v>
      </c>
      <c r="G66" s="39">
        <v>7</v>
      </c>
      <c r="H66" s="39">
        <v>0</v>
      </c>
      <c r="I66" s="39">
        <v>0</v>
      </c>
      <c r="J66" s="39">
        <v>0</v>
      </c>
      <c r="K66" s="39">
        <v>0</v>
      </c>
      <c r="L66" s="39">
        <v>100</v>
      </c>
      <c r="M66" s="39">
        <v>0.2</v>
      </c>
      <c r="N66" s="39">
        <v>0.2</v>
      </c>
      <c r="O66" s="39">
        <v>2</v>
      </c>
      <c r="P66" s="39">
        <v>2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9">
        <v>0.1</v>
      </c>
      <c r="AC66" s="39">
        <v>0</v>
      </c>
      <c r="AD66" s="39">
        <v>0</v>
      </c>
      <c r="AE66" s="39">
        <v>0</v>
      </c>
      <c r="AF66" s="39">
        <v>0</v>
      </c>
      <c r="AG66" s="39">
        <v>0</v>
      </c>
      <c r="AH66" s="39">
        <v>44</v>
      </c>
      <c r="AI66" s="39">
        <v>4.4000000000000004</v>
      </c>
      <c r="AJ66" s="39">
        <v>9</v>
      </c>
      <c r="AK66" s="39">
        <v>14</v>
      </c>
      <c r="AL66" s="39">
        <v>1.4</v>
      </c>
      <c r="AM66" s="39">
        <v>0</v>
      </c>
      <c r="AN66" s="39">
        <v>0</v>
      </c>
      <c r="AO66" s="39">
        <v>0</v>
      </c>
      <c r="AP66" s="39">
        <v>0</v>
      </c>
      <c r="AQ66" s="39">
        <v>0</v>
      </c>
      <c r="AR66" s="39">
        <v>10</v>
      </c>
      <c r="AS66" s="39">
        <v>1</v>
      </c>
      <c r="AT66" s="39">
        <v>20</v>
      </c>
      <c r="AU66" s="39">
        <v>2</v>
      </c>
      <c r="AV66" s="39">
        <v>88.888999999999996</v>
      </c>
      <c r="AW66" s="39">
        <v>1.6</v>
      </c>
      <c r="AX66" s="39">
        <v>1.8</v>
      </c>
      <c r="AY66" s="39">
        <v>16</v>
      </c>
      <c r="AZ66" s="39">
        <v>18</v>
      </c>
      <c r="BA66" s="39">
        <v>14.286</v>
      </c>
      <c r="BB66" s="39">
        <v>0.1</v>
      </c>
      <c r="BC66" s="39">
        <v>0.7</v>
      </c>
      <c r="BD66" s="39">
        <v>1</v>
      </c>
      <c r="BE66" s="39">
        <v>7</v>
      </c>
      <c r="BF66" s="39">
        <v>0</v>
      </c>
      <c r="BG66" s="39">
        <v>0</v>
      </c>
      <c r="BH66" s="39">
        <v>0</v>
      </c>
      <c r="BI66" s="39">
        <v>0</v>
      </c>
      <c r="BJ66" s="39">
        <v>0</v>
      </c>
      <c r="BK66" s="39">
        <v>66.667000000000002</v>
      </c>
      <c r="BL66" s="39">
        <v>0.2</v>
      </c>
      <c r="BM66" s="39">
        <v>0.3</v>
      </c>
      <c r="BN66" s="39">
        <v>2</v>
      </c>
      <c r="BO66" s="39">
        <v>3</v>
      </c>
      <c r="BP66" s="39">
        <v>40</v>
      </c>
      <c r="BQ66" s="39">
        <v>0.2</v>
      </c>
      <c r="BR66" s="39">
        <v>0.5</v>
      </c>
      <c r="BS66" s="39">
        <v>2</v>
      </c>
      <c r="BT66" s="39">
        <v>5</v>
      </c>
      <c r="BU66" s="39">
        <v>21</v>
      </c>
      <c r="BV66" s="39">
        <v>2.1</v>
      </c>
      <c r="BW66" s="39">
        <v>8</v>
      </c>
      <c r="BX66" s="39">
        <v>8</v>
      </c>
      <c r="BY66" s="39">
        <v>0.8</v>
      </c>
      <c r="BZ66" s="39">
        <v>0</v>
      </c>
      <c r="CA66" s="39">
        <v>0</v>
      </c>
      <c r="CB66" s="39">
        <v>0</v>
      </c>
      <c r="CC66" s="39">
        <v>2</v>
      </c>
      <c r="CD66" s="39">
        <v>1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4</v>
      </c>
      <c r="CQ66" s="39">
        <v>28</v>
      </c>
      <c r="CR66" s="39">
        <v>17.625</v>
      </c>
      <c r="CS66" s="39">
        <v>0</v>
      </c>
      <c r="CT66" s="39">
        <v>8.5</v>
      </c>
      <c r="CU66" s="39">
        <v>6.5</v>
      </c>
      <c r="CV66" s="39">
        <v>10.375</v>
      </c>
      <c r="CW66" s="39">
        <v>20.25</v>
      </c>
      <c r="CX66" s="39">
        <v>20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5</v>
      </c>
      <c r="DE66" s="39">
        <v>11</v>
      </c>
      <c r="DF66" s="39">
        <v>0</v>
      </c>
      <c r="DG66" s="39">
        <v>1</v>
      </c>
      <c r="DH66" s="39">
        <v>6</v>
      </c>
      <c r="DI66" s="39">
        <v>0</v>
      </c>
      <c r="DJ66" s="39">
        <v>3</v>
      </c>
      <c r="DK66" s="39">
        <v>2</v>
      </c>
      <c r="DL66" s="39">
        <v>9</v>
      </c>
      <c r="DM66" s="39">
        <v>3</v>
      </c>
      <c r="DN66" s="39">
        <v>1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  <c r="DT66" s="39">
        <v>1</v>
      </c>
      <c r="DU66" s="39">
        <v>1</v>
      </c>
      <c r="DV66" s="39">
        <v>0</v>
      </c>
      <c r="DW66" s="39">
        <v>1</v>
      </c>
      <c r="DX66" s="39">
        <v>2</v>
      </c>
      <c r="DY66" s="39">
        <v>0</v>
      </c>
      <c r="DZ66" s="39">
        <v>2</v>
      </c>
      <c r="EA66" s="39">
        <v>2</v>
      </c>
      <c r="EB66" s="39">
        <v>4</v>
      </c>
      <c r="EC66" s="39">
        <v>2</v>
      </c>
      <c r="ED66" s="39">
        <v>1</v>
      </c>
      <c r="EE66" s="39">
        <v>0</v>
      </c>
      <c r="EF66" s="39">
        <v>0</v>
      </c>
      <c r="EG66" s="39">
        <v>0</v>
      </c>
      <c r="EH66" s="39">
        <v>0</v>
      </c>
      <c r="EI66" s="39">
        <v>0</v>
      </c>
      <c r="EJ66" s="39">
        <v>1</v>
      </c>
      <c r="EK66" s="39">
        <v>1</v>
      </c>
      <c r="EL66" s="39">
        <v>0</v>
      </c>
      <c r="EM66" s="39">
        <v>1.9</v>
      </c>
      <c r="EN66" s="39">
        <v>2</v>
      </c>
      <c r="EO66" s="39">
        <v>6.5</v>
      </c>
      <c r="EP66" s="39"/>
    </row>
    <row r="67" spans="1:146" x14ac:dyDescent="0.25">
      <c r="A67" s="39">
        <v>7190</v>
      </c>
      <c r="B67" s="39" t="s">
        <v>276</v>
      </c>
      <c r="C67" s="39">
        <v>10</v>
      </c>
      <c r="D67" s="39">
        <v>3</v>
      </c>
      <c r="E67" s="39">
        <v>1</v>
      </c>
      <c r="F67" s="39">
        <v>6</v>
      </c>
      <c r="G67" s="39">
        <v>9</v>
      </c>
      <c r="H67" s="39">
        <v>0</v>
      </c>
      <c r="I67" s="39">
        <v>0</v>
      </c>
      <c r="J67" s="39">
        <v>0</v>
      </c>
      <c r="K67" s="39">
        <v>0</v>
      </c>
      <c r="L67" s="39">
        <v>0</v>
      </c>
      <c r="M67" s="39">
        <v>0</v>
      </c>
      <c r="N67" s="39">
        <v>0</v>
      </c>
      <c r="O67" s="39">
        <v>0</v>
      </c>
      <c r="P67" s="39">
        <v>0</v>
      </c>
      <c r="Q67" s="39">
        <v>0</v>
      </c>
      <c r="R67" s="39">
        <v>0</v>
      </c>
      <c r="S67" s="39">
        <v>0</v>
      </c>
      <c r="T67" s="39">
        <v>0</v>
      </c>
      <c r="U67" s="39">
        <v>0</v>
      </c>
      <c r="V67" s="39">
        <v>0</v>
      </c>
      <c r="W67" s="39">
        <v>0</v>
      </c>
      <c r="X67" s="39">
        <v>0</v>
      </c>
      <c r="Y67" s="39">
        <v>0</v>
      </c>
      <c r="Z67" s="39">
        <v>0</v>
      </c>
      <c r="AA67" s="39">
        <v>0</v>
      </c>
      <c r="AB67" s="39">
        <v>0</v>
      </c>
      <c r="AC67" s="39">
        <v>0</v>
      </c>
      <c r="AD67" s="39">
        <v>0</v>
      </c>
      <c r="AE67" s="39">
        <v>0</v>
      </c>
      <c r="AF67" s="39">
        <v>0</v>
      </c>
      <c r="AG67" s="39">
        <v>0</v>
      </c>
      <c r="AH67" s="39">
        <v>48</v>
      </c>
      <c r="AI67" s="39">
        <v>4.8</v>
      </c>
      <c r="AJ67" s="39">
        <v>6</v>
      </c>
      <c r="AK67" s="39">
        <v>0</v>
      </c>
      <c r="AL67" s="39">
        <v>0</v>
      </c>
      <c r="AM67" s="39">
        <v>87.272999999999996</v>
      </c>
      <c r="AN67" s="39">
        <v>4.8</v>
      </c>
      <c r="AO67" s="39">
        <v>5.5</v>
      </c>
      <c r="AP67" s="39">
        <v>48</v>
      </c>
      <c r="AQ67" s="39">
        <v>55</v>
      </c>
      <c r="AR67" s="39">
        <v>0</v>
      </c>
      <c r="AS67" s="39">
        <v>0</v>
      </c>
      <c r="AT67" s="39">
        <v>0</v>
      </c>
      <c r="AU67" s="39">
        <v>0</v>
      </c>
      <c r="AV67" s="39">
        <v>100</v>
      </c>
      <c r="AW67" s="39">
        <v>0.2</v>
      </c>
      <c r="AX67" s="39">
        <v>0.2</v>
      </c>
      <c r="AY67" s="39">
        <v>2</v>
      </c>
      <c r="AZ67" s="39">
        <v>2</v>
      </c>
      <c r="BA67" s="39">
        <v>92.308000000000007</v>
      </c>
      <c r="BB67" s="39">
        <v>4.8</v>
      </c>
      <c r="BC67" s="39">
        <v>5.2</v>
      </c>
      <c r="BD67" s="39">
        <v>48</v>
      </c>
      <c r="BE67" s="39">
        <v>52</v>
      </c>
      <c r="BF67" s="39">
        <v>0</v>
      </c>
      <c r="BG67" s="39">
        <v>0</v>
      </c>
      <c r="BH67" s="39">
        <v>0</v>
      </c>
      <c r="BI67" s="39">
        <v>0</v>
      </c>
      <c r="BJ67" s="39">
        <v>0</v>
      </c>
      <c r="BK67" s="39">
        <v>0</v>
      </c>
      <c r="BL67" s="39">
        <v>0</v>
      </c>
      <c r="BM67" s="39">
        <v>0</v>
      </c>
      <c r="BN67" s="39">
        <v>0</v>
      </c>
      <c r="BO67" s="39">
        <v>0</v>
      </c>
      <c r="BP67" s="39">
        <v>100</v>
      </c>
      <c r="BQ67" s="39">
        <v>0.1</v>
      </c>
      <c r="BR67" s="39">
        <v>0.1</v>
      </c>
      <c r="BS67" s="39">
        <v>1</v>
      </c>
      <c r="BT67" s="39">
        <v>1</v>
      </c>
      <c r="BU67" s="39">
        <v>51</v>
      </c>
      <c r="BV67" s="39">
        <v>5.0999999999999996</v>
      </c>
      <c r="BW67" s="39">
        <v>6</v>
      </c>
      <c r="BX67" s="39">
        <v>1</v>
      </c>
      <c r="BY67" s="39">
        <v>0.1</v>
      </c>
      <c r="BZ67" s="39">
        <v>0</v>
      </c>
      <c r="CA67" s="39">
        <v>0</v>
      </c>
      <c r="CB67" s="39">
        <v>0</v>
      </c>
      <c r="CC67" s="39">
        <v>0</v>
      </c>
      <c r="CD67" s="39">
        <v>0</v>
      </c>
      <c r="CE67" s="39">
        <v>0</v>
      </c>
      <c r="CF67" s="39">
        <v>0</v>
      </c>
      <c r="CG67" s="39">
        <v>0</v>
      </c>
      <c r="CH67" s="39">
        <v>0</v>
      </c>
      <c r="CI67" s="39">
        <v>0</v>
      </c>
      <c r="CJ67" s="39">
        <v>0</v>
      </c>
      <c r="CK67" s="39">
        <v>0</v>
      </c>
      <c r="CL67" s="39">
        <v>0</v>
      </c>
      <c r="CM67" s="39">
        <v>0</v>
      </c>
      <c r="CN67" s="39">
        <v>0</v>
      </c>
      <c r="CO67" s="39">
        <v>0</v>
      </c>
      <c r="CP67" s="39">
        <v>4</v>
      </c>
      <c r="CQ67" s="39">
        <v>0</v>
      </c>
      <c r="CR67" s="39">
        <v>0</v>
      </c>
      <c r="CS67" s="39">
        <v>0</v>
      </c>
      <c r="CT67" s="39">
        <v>0</v>
      </c>
      <c r="CU67" s="39">
        <v>0</v>
      </c>
      <c r="CV67" s="39">
        <v>0</v>
      </c>
      <c r="CW67" s="39">
        <v>0</v>
      </c>
      <c r="CX67" s="39">
        <v>0</v>
      </c>
      <c r="CY67" s="39">
        <v>0</v>
      </c>
      <c r="CZ67" s="39">
        <v>0</v>
      </c>
      <c r="DA67" s="39">
        <v>8.1980000000000004</v>
      </c>
      <c r="DB67" s="39">
        <v>0</v>
      </c>
      <c r="DC67" s="39">
        <v>0</v>
      </c>
      <c r="DD67" s="39">
        <v>0</v>
      </c>
      <c r="DE67" s="39">
        <v>0</v>
      </c>
      <c r="DF67" s="39">
        <v>0</v>
      </c>
      <c r="DG67" s="39">
        <v>0</v>
      </c>
      <c r="DH67" s="39">
        <v>0</v>
      </c>
      <c r="DI67" s="39">
        <v>0</v>
      </c>
      <c r="DJ67" s="39">
        <v>0</v>
      </c>
      <c r="DK67" s="39">
        <v>0</v>
      </c>
      <c r="DL67" s="39">
        <v>0</v>
      </c>
      <c r="DM67" s="39">
        <v>0</v>
      </c>
      <c r="DN67" s="39">
        <v>0</v>
      </c>
      <c r="DO67" s="39">
        <v>0</v>
      </c>
      <c r="DP67" s="39">
        <v>0</v>
      </c>
      <c r="DQ67" s="39">
        <v>45</v>
      </c>
      <c r="DR67" s="39">
        <v>0</v>
      </c>
      <c r="DS67" s="39">
        <v>0</v>
      </c>
      <c r="DT67" s="39">
        <v>0</v>
      </c>
      <c r="DU67" s="39">
        <v>0</v>
      </c>
      <c r="DV67" s="39">
        <v>0</v>
      </c>
      <c r="DW67" s="39">
        <v>0</v>
      </c>
      <c r="DX67" s="39">
        <v>0</v>
      </c>
      <c r="DY67" s="39">
        <v>0</v>
      </c>
      <c r="DZ67" s="39">
        <v>0</v>
      </c>
      <c r="EA67" s="39">
        <v>0</v>
      </c>
      <c r="EB67" s="39">
        <v>0</v>
      </c>
      <c r="EC67" s="39">
        <v>0</v>
      </c>
      <c r="ED67" s="39">
        <v>0</v>
      </c>
      <c r="EE67" s="39">
        <v>0</v>
      </c>
      <c r="EF67" s="39">
        <v>0</v>
      </c>
      <c r="EG67" s="39">
        <v>6</v>
      </c>
      <c r="EH67" s="39">
        <v>0</v>
      </c>
      <c r="EI67" s="39">
        <v>0</v>
      </c>
      <c r="EJ67" s="39">
        <v>0</v>
      </c>
      <c r="EK67" s="39">
        <v>0</v>
      </c>
      <c r="EL67" s="39">
        <v>0</v>
      </c>
      <c r="EM67" s="39">
        <v>2.8</v>
      </c>
      <c r="EN67" s="39">
        <v>0</v>
      </c>
      <c r="EO67" s="39">
        <v>9.9</v>
      </c>
      <c r="EP67" s="39"/>
    </row>
    <row r="68" spans="1:146" x14ac:dyDescent="0.25">
      <c r="A68" s="39">
        <v>7303</v>
      </c>
      <c r="B68" s="39" t="s">
        <v>277</v>
      </c>
      <c r="C68" s="39">
        <v>9</v>
      </c>
      <c r="D68" s="39">
        <v>5</v>
      </c>
      <c r="E68" s="39">
        <v>1</v>
      </c>
      <c r="F68" s="39">
        <v>3</v>
      </c>
      <c r="G68" s="39">
        <v>7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>
        <v>0</v>
      </c>
      <c r="W68" s="39">
        <v>0</v>
      </c>
      <c r="X68" s="39">
        <v>0</v>
      </c>
      <c r="Y68" s="39">
        <v>0</v>
      </c>
      <c r="Z68" s="39">
        <v>0</v>
      </c>
      <c r="AA68" s="39">
        <v>0</v>
      </c>
      <c r="AB68" s="39">
        <v>0</v>
      </c>
      <c r="AC68" s="39">
        <v>0</v>
      </c>
      <c r="AD68" s="39">
        <v>0</v>
      </c>
      <c r="AE68" s="39">
        <v>0</v>
      </c>
      <c r="AF68" s="39">
        <v>0</v>
      </c>
      <c r="AG68" s="39">
        <v>0</v>
      </c>
      <c r="AH68" s="39">
        <v>17</v>
      </c>
      <c r="AI68" s="39">
        <v>1.889</v>
      </c>
      <c r="AJ68" s="39">
        <v>4</v>
      </c>
      <c r="AK68" s="39">
        <v>1</v>
      </c>
      <c r="AL68" s="39">
        <v>0.111</v>
      </c>
      <c r="AM68" s="39">
        <v>63.636000000000003</v>
      </c>
      <c r="AN68" s="39">
        <v>0.77800000000000002</v>
      </c>
      <c r="AO68" s="39">
        <v>1.222</v>
      </c>
      <c r="AP68" s="39">
        <v>7</v>
      </c>
      <c r="AQ68" s="39">
        <v>11</v>
      </c>
      <c r="AR68" s="39">
        <v>9</v>
      </c>
      <c r="AS68" s="39">
        <v>1</v>
      </c>
      <c r="AT68" s="39">
        <v>0</v>
      </c>
      <c r="AU68" s="39">
        <v>0</v>
      </c>
      <c r="AV68" s="39">
        <v>66.667000000000002</v>
      </c>
      <c r="AW68" s="39">
        <v>0.44400000000000001</v>
      </c>
      <c r="AX68" s="39">
        <v>0.66700000000000004</v>
      </c>
      <c r="AY68" s="39">
        <v>4</v>
      </c>
      <c r="AZ68" s="39">
        <v>6</v>
      </c>
      <c r="BA68" s="39">
        <v>100</v>
      </c>
      <c r="BB68" s="39">
        <v>0.55600000000000005</v>
      </c>
      <c r="BC68" s="39">
        <v>0.55600000000000005</v>
      </c>
      <c r="BD68" s="39">
        <v>5</v>
      </c>
      <c r="BE68" s="39">
        <v>5</v>
      </c>
      <c r="BF68" s="39">
        <v>0</v>
      </c>
      <c r="BG68" s="39">
        <v>0</v>
      </c>
      <c r="BH68" s="39">
        <v>0</v>
      </c>
      <c r="BI68" s="39">
        <v>0</v>
      </c>
      <c r="BJ68" s="39">
        <v>0</v>
      </c>
      <c r="BK68" s="39">
        <v>0</v>
      </c>
      <c r="BL68" s="39">
        <v>0</v>
      </c>
      <c r="BM68" s="39">
        <v>0</v>
      </c>
      <c r="BN68" s="39">
        <v>0</v>
      </c>
      <c r="BO68" s="39">
        <v>0</v>
      </c>
      <c r="BP68" s="39">
        <v>100</v>
      </c>
      <c r="BQ68" s="39">
        <v>1.556</v>
      </c>
      <c r="BR68" s="39">
        <v>1.556</v>
      </c>
      <c r="BS68" s="39">
        <v>14</v>
      </c>
      <c r="BT68" s="39">
        <v>14</v>
      </c>
      <c r="BU68" s="39">
        <v>23</v>
      </c>
      <c r="BV68" s="39">
        <v>2.556</v>
      </c>
      <c r="BW68" s="39">
        <v>5</v>
      </c>
      <c r="BX68" s="39">
        <v>4</v>
      </c>
      <c r="BY68" s="39">
        <v>0.44400000000000001</v>
      </c>
      <c r="BZ68" s="39">
        <v>0</v>
      </c>
      <c r="CA68" s="39">
        <v>0</v>
      </c>
      <c r="CB68" s="39">
        <v>0</v>
      </c>
      <c r="CC68" s="39">
        <v>0</v>
      </c>
      <c r="CD68" s="39">
        <v>0</v>
      </c>
      <c r="CE68" s="39">
        <v>0</v>
      </c>
      <c r="CF68" s="39">
        <v>0</v>
      </c>
      <c r="CG68" s="39">
        <v>0</v>
      </c>
      <c r="CH68" s="39">
        <v>0</v>
      </c>
      <c r="CI68" s="39">
        <v>0</v>
      </c>
      <c r="CJ68" s="39">
        <v>0</v>
      </c>
      <c r="CK68" s="39">
        <v>0</v>
      </c>
      <c r="CL68" s="39">
        <v>0</v>
      </c>
      <c r="CM68" s="39">
        <v>0</v>
      </c>
      <c r="CN68" s="39">
        <v>0</v>
      </c>
      <c r="CO68" s="39">
        <v>0</v>
      </c>
      <c r="CP68" s="39">
        <v>5</v>
      </c>
      <c r="CQ68" s="39">
        <v>0</v>
      </c>
      <c r="CR68" s="39">
        <v>0</v>
      </c>
      <c r="CS68" s="39">
        <v>0</v>
      </c>
      <c r="CT68" s="39">
        <v>18.875</v>
      </c>
      <c r="CU68" s="39">
        <v>0</v>
      </c>
      <c r="CV68" s="39">
        <v>0</v>
      </c>
      <c r="CW68" s="39">
        <v>0</v>
      </c>
      <c r="CX68" s="39">
        <v>0</v>
      </c>
      <c r="CY68" s="39">
        <v>0</v>
      </c>
      <c r="CZ68" s="39">
        <v>0</v>
      </c>
      <c r="DA68" s="39">
        <v>5.75</v>
      </c>
      <c r="DB68" s="39">
        <v>0</v>
      </c>
      <c r="DC68" s="39">
        <v>0</v>
      </c>
      <c r="DD68" s="39">
        <v>0</v>
      </c>
      <c r="DE68" s="39">
        <v>0</v>
      </c>
      <c r="DF68" s="39">
        <v>6.6669999999999998</v>
      </c>
      <c r="DG68" s="39">
        <v>0</v>
      </c>
      <c r="DH68" s="39">
        <v>0</v>
      </c>
      <c r="DI68" s="39">
        <v>0</v>
      </c>
      <c r="DJ68" s="39">
        <v>10</v>
      </c>
      <c r="DK68" s="39">
        <v>0</v>
      </c>
      <c r="DL68" s="39">
        <v>0</v>
      </c>
      <c r="DM68" s="39">
        <v>0</v>
      </c>
      <c r="DN68" s="39">
        <v>0</v>
      </c>
      <c r="DO68" s="39">
        <v>0</v>
      </c>
      <c r="DP68" s="39">
        <v>0</v>
      </c>
      <c r="DQ68" s="39">
        <v>6</v>
      </c>
      <c r="DR68" s="39">
        <v>0</v>
      </c>
      <c r="DS68" s="39">
        <v>0</v>
      </c>
      <c r="DT68" s="39">
        <v>0</v>
      </c>
      <c r="DU68" s="39">
        <v>0</v>
      </c>
      <c r="DV68" s="39">
        <v>3</v>
      </c>
      <c r="DW68" s="39">
        <v>0</v>
      </c>
      <c r="DX68" s="39">
        <v>0</v>
      </c>
      <c r="DY68" s="39">
        <v>0</v>
      </c>
      <c r="DZ68" s="39">
        <v>4</v>
      </c>
      <c r="EA68" s="39">
        <v>0</v>
      </c>
      <c r="EB68" s="39">
        <v>0</v>
      </c>
      <c r="EC68" s="39">
        <v>0</v>
      </c>
      <c r="ED68" s="39">
        <v>0</v>
      </c>
      <c r="EE68" s="39">
        <v>0</v>
      </c>
      <c r="EF68" s="39">
        <v>0</v>
      </c>
      <c r="EG68" s="39">
        <v>4</v>
      </c>
      <c r="EH68" s="39">
        <v>0</v>
      </c>
      <c r="EI68" s="39">
        <v>0</v>
      </c>
      <c r="EJ68" s="39">
        <v>0</v>
      </c>
      <c r="EK68" s="39">
        <v>0</v>
      </c>
      <c r="EL68" s="39">
        <v>3</v>
      </c>
      <c r="EM68" s="39">
        <v>2.1110000000000002</v>
      </c>
      <c r="EN68" s="39">
        <v>2.5</v>
      </c>
      <c r="EO68" s="39">
        <v>4.4450000000000003</v>
      </c>
      <c r="EP68" s="3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Z69"/>
  <sheetViews>
    <sheetView tabSelected="1" zoomScale="110" zoomScaleNormal="110" workbookViewId="0">
      <pane xSplit="1" ySplit="2" topLeftCell="F21" activePane="bottomRight" state="frozen"/>
      <selection pane="topRight" activeCell="B1" sqref="B1"/>
      <selection pane="bottomLeft" activeCell="A3" sqref="A3"/>
      <selection pane="bottomRight" activeCell="S27" sqref="S27:T27"/>
    </sheetView>
  </sheetViews>
  <sheetFormatPr defaultRowHeight="15" x14ac:dyDescent="0.25"/>
  <cols>
    <col min="2" max="2" width="33" hidden="1" customWidth="1"/>
    <col min="3" max="3" width="9.140625" hidden="1" customWidth="1"/>
    <col min="4" max="4" width="9.140625" style="39" hidden="1" customWidth="1"/>
    <col min="5" max="5" width="9.140625" style="57" hidden="1" customWidth="1"/>
    <col min="6" max="6" width="7.5703125" style="57" customWidth="1"/>
    <col min="7" max="7" width="8.7109375" style="57" customWidth="1"/>
    <col min="8" max="8" width="9.140625" style="57" customWidth="1"/>
    <col min="9" max="9" width="8.85546875" style="57" customWidth="1"/>
    <col min="10" max="10" width="9.7109375" style="57" customWidth="1"/>
    <col min="11" max="11" width="7.7109375" style="59" bestFit="1" customWidth="1"/>
    <col min="12" max="12" width="7.28515625" style="59" bestFit="1" customWidth="1"/>
    <col min="13" max="13" width="6.42578125" style="59" bestFit="1" customWidth="1"/>
    <col min="14" max="14" width="6.42578125" style="59" hidden="1" customWidth="1"/>
    <col min="15" max="15" width="7.85546875" style="59" bestFit="1" customWidth="1"/>
    <col min="16" max="17" width="7.85546875" style="59" customWidth="1"/>
    <col min="18" max="18" width="7.7109375" style="59" customWidth="1"/>
    <col min="19" max="19" width="8.140625" style="61" customWidth="1"/>
    <col min="20" max="20" width="9.28515625" style="61" customWidth="1"/>
    <col min="21" max="21" width="9.5703125" style="61" hidden="1" customWidth="1"/>
    <col min="22" max="23" width="9.85546875" style="61" customWidth="1"/>
    <col min="24" max="25" width="8.140625" style="39" hidden="1" customWidth="1"/>
    <col min="26" max="26" width="8.140625" style="39" customWidth="1"/>
    <col min="27" max="27" width="11.28515625" style="39" customWidth="1"/>
    <col min="28" max="28" width="7.7109375" style="39" customWidth="1"/>
    <col min="29" max="29" width="9.7109375" style="39" customWidth="1"/>
    <col min="30" max="30" width="9.140625" style="12"/>
    <col min="31" max="34" width="9.140625" style="31"/>
    <col min="35" max="35" width="10" style="31" bestFit="1" customWidth="1"/>
    <col min="36" max="37" width="9.140625" style="31"/>
    <col min="38" max="38" width="9.140625" style="22"/>
    <col min="39" max="39" width="10" style="29" bestFit="1" customWidth="1"/>
    <col min="40" max="40" width="9.5703125" style="29" bestFit="1" customWidth="1"/>
    <col min="41" max="41" width="9.5703125" style="29" customWidth="1"/>
    <col min="42" max="42" width="11.5703125" style="29" bestFit="1" customWidth="1"/>
    <col min="43" max="43" width="10" style="29" bestFit="1" customWidth="1"/>
    <col min="44" max="44" width="10" style="29" customWidth="1"/>
    <col min="45" max="45" width="9.28515625" style="29" bestFit="1" customWidth="1"/>
    <col min="46" max="46" width="9.140625" style="29"/>
    <col min="47" max="50" width="9.140625" style="28"/>
    <col min="51" max="51" width="12.140625" style="28" bestFit="1" customWidth="1"/>
    <col min="52" max="52" width="9.140625" style="28"/>
    <col min="53" max="57" width="9.140625" style="30"/>
    <col min="58" max="58" width="11.42578125" style="23" customWidth="1"/>
    <col min="59" max="59" width="11.5703125" style="23" customWidth="1"/>
    <col min="60" max="60" width="12" style="23" bestFit="1" customWidth="1"/>
    <col min="61" max="61" width="10.5703125" style="23" customWidth="1"/>
    <col min="62" max="62" width="11.42578125" style="12" customWidth="1"/>
    <col min="63" max="63" width="11.42578125" style="31" customWidth="1"/>
    <col min="64" max="64" width="12.140625" style="31" bestFit="1" customWidth="1"/>
    <col min="65" max="65" width="11.42578125" style="31" customWidth="1"/>
    <col min="66" max="66" width="11.42578125" style="22" customWidth="1"/>
    <col min="67" max="67" width="11.42578125" style="29" customWidth="1"/>
    <col min="68" max="68" width="12.140625" style="29" bestFit="1" customWidth="1"/>
    <col min="69" max="69" width="11.42578125" style="29" customWidth="1"/>
    <col min="70" max="70" width="11.42578125" style="17" customWidth="1"/>
    <col min="71" max="71" width="11.42578125" style="30" customWidth="1"/>
    <col min="72" max="72" width="12.140625" style="30" bestFit="1" customWidth="1"/>
    <col min="73" max="73" width="11.42578125" style="30" customWidth="1"/>
    <col min="74" max="75" width="9.140625" style="31"/>
    <col min="76" max="76" width="12.85546875" style="31" bestFit="1" customWidth="1"/>
    <col min="77" max="77" width="18.5703125" style="31" bestFit="1" customWidth="1"/>
    <col min="78" max="78" width="11.5703125" style="14" bestFit="1" customWidth="1"/>
  </cols>
  <sheetData>
    <row r="1" spans="1:78" x14ac:dyDescent="0.25">
      <c r="AD1" s="1" t="s">
        <v>152</v>
      </c>
      <c r="AE1" s="2"/>
      <c r="AF1" s="2"/>
      <c r="AG1" s="2"/>
      <c r="AH1" s="2"/>
      <c r="AI1" s="2"/>
      <c r="AJ1" s="2"/>
      <c r="AK1" s="2"/>
      <c r="AL1" s="11" t="s">
        <v>160</v>
      </c>
      <c r="AM1" s="4"/>
      <c r="AN1" s="4"/>
      <c r="AO1" s="4"/>
      <c r="AP1" s="4"/>
      <c r="AQ1" s="4"/>
      <c r="AR1" s="4"/>
      <c r="AS1" s="4"/>
      <c r="AT1" s="5"/>
      <c r="AU1" s="24" t="s">
        <v>163</v>
      </c>
      <c r="AV1" s="25"/>
      <c r="AW1" s="25"/>
      <c r="AX1" s="25"/>
      <c r="AY1" s="25"/>
      <c r="AZ1" s="25"/>
      <c r="BA1" s="6" t="s">
        <v>143</v>
      </c>
      <c r="BB1" s="7"/>
      <c r="BC1" s="7"/>
      <c r="BD1" s="7"/>
      <c r="BE1" s="8"/>
      <c r="BF1" s="9" t="s">
        <v>172</v>
      </c>
      <c r="BG1" s="10"/>
      <c r="BH1" s="10"/>
      <c r="BI1" s="10"/>
      <c r="BJ1" s="1" t="s">
        <v>173</v>
      </c>
      <c r="BK1" s="2"/>
      <c r="BL1" s="2"/>
      <c r="BM1" s="2"/>
      <c r="BN1" s="11" t="s">
        <v>174</v>
      </c>
      <c r="BO1" s="4"/>
      <c r="BP1" s="4"/>
      <c r="BQ1" s="4"/>
      <c r="BR1" s="6" t="s">
        <v>175</v>
      </c>
      <c r="BS1" s="7"/>
      <c r="BT1" s="7"/>
      <c r="BU1" s="7"/>
      <c r="BV1" s="1" t="s">
        <v>176</v>
      </c>
      <c r="BW1" s="2"/>
      <c r="BX1" s="2"/>
      <c r="BY1" s="2"/>
      <c r="BZ1" s="3"/>
    </row>
    <row r="2" spans="1:78" ht="30" customHeight="1" x14ac:dyDescent="0.25">
      <c r="A2" s="42" t="s">
        <v>144</v>
      </c>
      <c r="B2" s="42" t="s">
        <v>145</v>
      </c>
      <c r="C2" s="42" t="s">
        <v>146</v>
      </c>
      <c r="D2" s="42" t="s">
        <v>188</v>
      </c>
      <c r="E2" s="58" t="s">
        <v>285</v>
      </c>
      <c r="F2" s="58" t="s">
        <v>299</v>
      </c>
      <c r="G2" s="58" t="s">
        <v>295</v>
      </c>
      <c r="H2" s="58" t="s">
        <v>296</v>
      </c>
      <c r="I2" s="58" t="s">
        <v>297</v>
      </c>
      <c r="J2" s="58" t="s">
        <v>298</v>
      </c>
      <c r="K2" s="60" t="s">
        <v>286</v>
      </c>
      <c r="L2" s="60" t="s">
        <v>287</v>
      </c>
      <c r="M2" s="60" t="s">
        <v>306</v>
      </c>
      <c r="N2" s="60" t="s">
        <v>314</v>
      </c>
      <c r="O2" s="60" t="s">
        <v>308</v>
      </c>
      <c r="P2" s="60" t="s">
        <v>312</v>
      </c>
      <c r="Q2" s="60" t="s">
        <v>310</v>
      </c>
      <c r="R2" s="60" t="s">
        <v>288</v>
      </c>
      <c r="S2" s="62" t="s">
        <v>304</v>
      </c>
      <c r="T2" s="62" t="s">
        <v>303</v>
      </c>
      <c r="U2" s="62" t="s">
        <v>305</v>
      </c>
      <c r="V2" s="62" t="s">
        <v>302</v>
      </c>
      <c r="W2" s="62" t="s">
        <v>307</v>
      </c>
      <c r="X2" s="42" t="s">
        <v>208</v>
      </c>
      <c r="Y2" s="42" t="s">
        <v>210</v>
      </c>
      <c r="Z2" s="42" t="s">
        <v>311</v>
      </c>
      <c r="AA2" s="42" t="s">
        <v>209</v>
      </c>
      <c r="AB2" s="42" t="s">
        <v>210</v>
      </c>
      <c r="AC2" s="42" t="s">
        <v>211</v>
      </c>
      <c r="AD2" s="43" t="s">
        <v>153</v>
      </c>
      <c r="AE2" s="44" t="s">
        <v>148</v>
      </c>
      <c r="AF2" s="44" t="s">
        <v>154</v>
      </c>
      <c r="AG2" s="44" t="s">
        <v>155</v>
      </c>
      <c r="AH2" s="44" t="s">
        <v>156</v>
      </c>
      <c r="AI2" s="44" t="s">
        <v>157</v>
      </c>
      <c r="AJ2" s="44" t="s">
        <v>158</v>
      </c>
      <c r="AK2" s="44" t="s">
        <v>159</v>
      </c>
      <c r="AL2" s="45" t="s">
        <v>147</v>
      </c>
      <c r="AM2" s="46" t="s">
        <v>157</v>
      </c>
      <c r="AN2" s="46" t="s">
        <v>158</v>
      </c>
      <c r="AO2" s="46" t="s">
        <v>180</v>
      </c>
      <c r="AP2" s="46" t="s">
        <v>161</v>
      </c>
      <c r="AQ2" s="46" t="s">
        <v>162</v>
      </c>
      <c r="AR2" s="46" t="s">
        <v>181</v>
      </c>
      <c r="AS2" s="46" t="s">
        <v>159</v>
      </c>
      <c r="AT2" s="47" t="s">
        <v>150</v>
      </c>
      <c r="AU2" s="48" t="s">
        <v>147</v>
      </c>
      <c r="AV2" s="49" t="s">
        <v>300</v>
      </c>
      <c r="AW2" s="49" t="s">
        <v>164</v>
      </c>
      <c r="AX2" s="49" t="s">
        <v>165</v>
      </c>
      <c r="AY2" s="49" t="s">
        <v>166</v>
      </c>
      <c r="AZ2" s="49" t="s">
        <v>167</v>
      </c>
      <c r="BA2" s="50" t="s">
        <v>149</v>
      </c>
      <c r="BB2" s="51" t="s">
        <v>168</v>
      </c>
      <c r="BC2" s="51" t="s">
        <v>169</v>
      </c>
      <c r="BD2" s="52" t="s">
        <v>170</v>
      </c>
      <c r="BE2" s="53" t="s">
        <v>171</v>
      </c>
      <c r="BF2" s="54" t="s">
        <v>164</v>
      </c>
      <c r="BG2" s="55" t="s">
        <v>165</v>
      </c>
      <c r="BH2" s="55" t="s">
        <v>166</v>
      </c>
      <c r="BI2" s="55" t="s">
        <v>167</v>
      </c>
      <c r="BJ2" s="43" t="s">
        <v>164</v>
      </c>
      <c r="BK2" s="44" t="s">
        <v>165</v>
      </c>
      <c r="BL2" s="44" t="s">
        <v>166</v>
      </c>
      <c r="BM2" s="44" t="s">
        <v>167</v>
      </c>
      <c r="BN2" s="45" t="s">
        <v>164</v>
      </c>
      <c r="BO2" s="46" t="s">
        <v>165</v>
      </c>
      <c r="BP2" s="46" t="s">
        <v>166</v>
      </c>
      <c r="BQ2" s="46" t="s">
        <v>167</v>
      </c>
      <c r="BR2" s="50" t="s">
        <v>164</v>
      </c>
      <c r="BS2" s="52" t="s">
        <v>165</v>
      </c>
      <c r="BT2" s="52" t="s">
        <v>166</v>
      </c>
      <c r="BU2" s="52" t="s">
        <v>167</v>
      </c>
      <c r="BV2" s="43" t="s">
        <v>177</v>
      </c>
      <c r="BW2" s="44" t="s">
        <v>178</v>
      </c>
      <c r="BX2" s="44" t="s">
        <v>179</v>
      </c>
      <c r="BY2" s="44" t="s">
        <v>182</v>
      </c>
      <c r="BZ2" s="56" t="s">
        <v>151</v>
      </c>
    </row>
    <row r="3" spans="1:78" x14ac:dyDescent="0.25">
      <c r="A3">
        <f>'Raw Data'!A14</f>
        <v>1678</v>
      </c>
      <c r="B3" t="str">
        <f>'Raw Data'!B14</f>
        <v xml:space="preserve"> Citrus Circuits</v>
      </c>
      <c r="C3">
        <f>'Raw Data'!C14</f>
        <v>10</v>
      </c>
      <c r="E3" s="57">
        <f>IF(_xlfn.IFNA(MATCH(A3,'Center Switch 2'!A:A, 0),0)&gt;0,1,0)</f>
        <v>1</v>
      </c>
      <c r="F3" s="57">
        <f>_xlfn.IFNA(VLOOKUP(A3,'Center Switch 2'!A:G,2,0),0)</f>
        <v>4</v>
      </c>
      <c r="G3" s="57">
        <f>_xlfn.IFNA(VLOOKUP(A3,'Center Switch 2'!A:G,4,0),0)</f>
        <v>8</v>
      </c>
      <c r="H3" s="57">
        <f>_xlfn.IFNA(VLOOKUP(A3,'Center Switch 2'!A:G,5,0),0)</f>
        <v>2</v>
      </c>
      <c r="I3" s="57">
        <f>_xlfn.IFNA(VLOOKUP(A3,'Center Switch 2'!A:G,6,0),0)</f>
        <v>0</v>
      </c>
      <c r="J3" s="57">
        <f>_xlfn.IFNA(VLOOKUP(A3,'Center Switch 2'!A:G,7,0),0)</f>
        <v>0</v>
      </c>
      <c r="K3" s="59">
        <f>AP3</f>
        <v>0.9</v>
      </c>
      <c r="L3" s="59">
        <f>AQ3</f>
        <v>1.3</v>
      </c>
      <c r="M3" s="59">
        <f>AS3</f>
        <v>0.3</v>
      </c>
      <c r="N3" s="59">
        <f>2*O3</f>
        <v>9.8000000000000007</v>
      </c>
      <c r="O3" s="59">
        <f>AO3</f>
        <v>4.9000000000000004</v>
      </c>
      <c r="R3" s="59">
        <f>AL3</f>
        <v>7.4</v>
      </c>
      <c r="S3" s="61">
        <f>'Raw Data'!CT14</f>
        <v>3.5</v>
      </c>
      <c r="T3" s="61">
        <f>'Raw Data'!CR14</f>
        <v>5</v>
      </c>
      <c r="U3" s="61">
        <f>'Raw Data'!CW14</f>
        <v>9.75</v>
      </c>
      <c r="V3" s="61">
        <f>'Raw Data'!DA14</f>
        <v>3.1669999999999998</v>
      </c>
      <c r="W3" s="61">
        <f>BV3</f>
        <v>4.5999999999999996</v>
      </c>
      <c r="X3" s="39">
        <v>0</v>
      </c>
      <c r="Z3" s="39">
        <v>0</v>
      </c>
      <c r="AD3" s="12">
        <f>'Raw Data'!D14</f>
        <v>5</v>
      </c>
      <c r="AE3" s="13">
        <f>'Raw Data'!E14</f>
        <v>4</v>
      </c>
      <c r="AF3" s="13">
        <f>'Raw Data'!F14</f>
        <v>1</v>
      </c>
      <c r="AG3" s="13">
        <f>'Raw Data'!G14</f>
        <v>10</v>
      </c>
      <c r="AH3" s="13">
        <f>'Raw Data'!O14</f>
        <v>8</v>
      </c>
      <c r="AI3" s="13">
        <f>'Raw Data'!T14</f>
        <v>10</v>
      </c>
      <c r="AJ3" s="13">
        <f>'Raw Data'!Y14</f>
        <v>0</v>
      </c>
      <c r="AK3" s="13">
        <f>'Raw Data'!AD14</f>
        <v>0</v>
      </c>
      <c r="AL3" s="22">
        <f>'Raw Data'!BV14</f>
        <v>7.4</v>
      </c>
      <c r="AM3" s="15">
        <f>'Raw Data'!BG14</f>
        <v>1.9</v>
      </c>
      <c r="AN3" s="15">
        <f>'Raw Data'!BL14</f>
        <v>3</v>
      </c>
      <c r="AO3" s="15">
        <f>AM3+AN3</f>
        <v>4.9000000000000004</v>
      </c>
      <c r="AP3" s="15">
        <f>'Raw Data'!AW14</f>
        <v>0.9</v>
      </c>
      <c r="AQ3" s="15">
        <f>'Raw Data'!BB14</f>
        <v>1.3</v>
      </c>
      <c r="AR3" s="15">
        <f>AP3+AQ3</f>
        <v>2.2000000000000002</v>
      </c>
      <c r="AS3" s="15">
        <f>'Raw Data'!BQ14</f>
        <v>0.3</v>
      </c>
      <c r="AT3" s="16">
        <f>'Raw Data'!BY14</f>
        <v>0.3</v>
      </c>
      <c r="AU3" s="26">
        <f>'Raw Data'!AI14</f>
        <v>7.8</v>
      </c>
      <c r="AV3" s="27">
        <f>SUM(AX3:AZ3)</f>
        <v>6.9999999999999991</v>
      </c>
      <c r="AW3" s="27">
        <f>'Raw Data'!AN14</f>
        <v>0.8</v>
      </c>
      <c r="AX3" s="27">
        <f>'Raw Data'!AS14</f>
        <v>1.4</v>
      </c>
      <c r="AY3" s="27">
        <f>'Raw Data'!AU14</f>
        <v>3.8</v>
      </c>
      <c r="AZ3" s="27">
        <f>'Raw Data'!AL14</f>
        <v>1.8</v>
      </c>
      <c r="BA3" s="17">
        <f>'Raw Data'!CF14</f>
        <v>100</v>
      </c>
      <c r="BB3" s="18">
        <f>'Raw Data'!CJ14</f>
        <v>9</v>
      </c>
      <c r="BC3" s="18">
        <f>'Raw Data'!CM14</f>
        <v>0</v>
      </c>
      <c r="BD3" s="18">
        <f>'Raw Data'!CO14</f>
        <v>0</v>
      </c>
      <c r="BE3" s="19">
        <f>'Raw Data'!CP14</f>
        <v>0</v>
      </c>
      <c r="BF3" s="20">
        <f>'Raw Data'!DO14/$C3</f>
        <v>0.3</v>
      </c>
      <c r="BG3" s="20">
        <f>'Raw Data'!DG14/$C3</f>
        <v>0.2</v>
      </c>
      <c r="BH3" s="20">
        <f>'Raw Data'!DK14/$C3</f>
        <v>3.7</v>
      </c>
      <c r="BI3" s="20">
        <f>'Raw Data'!DS14/$C3</f>
        <v>1</v>
      </c>
      <c r="BJ3" s="12">
        <f>'Raw Data'!DP14/$C3</f>
        <v>0.1</v>
      </c>
      <c r="BK3" s="12">
        <f>'Raw Data'!DH14/$C3</f>
        <v>0.3</v>
      </c>
      <c r="BL3" s="12">
        <f>'Raw Data'!DL14/$C3</f>
        <v>0.1</v>
      </c>
      <c r="BM3" s="12">
        <f>'Raw Data'!DT14/$C3</f>
        <v>0.2</v>
      </c>
      <c r="BN3" s="22">
        <f>'Raw Data'!DQ14/$C3</f>
        <v>0.4</v>
      </c>
      <c r="BO3" s="22">
        <f>'Raw Data'!DI14/$C3</f>
        <v>0</v>
      </c>
      <c r="BP3" s="22">
        <f>'Raw Data'!DM14/$C3</f>
        <v>0.3</v>
      </c>
      <c r="BQ3" s="22">
        <f>'Raw Data'!DU14/$C3</f>
        <v>0.5</v>
      </c>
      <c r="BR3" s="17">
        <f>'Raw Data'!DR14/$C3</f>
        <v>0.1</v>
      </c>
      <c r="BS3" s="17">
        <f>'Raw Data'!DJ14/$C3</f>
        <v>0.2</v>
      </c>
      <c r="BT3" s="17">
        <f>'Raw Data'!DN14/$C3</f>
        <v>0</v>
      </c>
      <c r="BU3" s="17">
        <f>'Raw Data'!DV14/$C3</f>
        <v>0</v>
      </c>
      <c r="BV3" s="12">
        <f>'Raw Data'!EM14</f>
        <v>4.5999999999999996</v>
      </c>
      <c r="BW3" s="13">
        <f>'Raw Data'!EN14</f>
        <v>0</v>
      </c>
      <c r="BX3" s="13">
        <f>'Raw Data'!CC14</f>
        <v>22</v>
      </c>
      <c r="BY3" s="13">
        <f>SUM(AR3:AS3)</f>
        <v>2.5</v>
      </c>
    </row>
    <row r="4" spans="1:78" x14ac:dyDescent="0.25">
      <c r="A4">
        <f>'Raw Data'!A29</f>
        <v>3310</v>
      </c>
      <c r="B4" t="str">
        <f>'Raw Data'!B29</f>
        <v xml:space="preserve"> Black Hawk Robotics</v>
      </c>
      <c r="C4">
        <f>'Raw Data'!C29</f>
        <v>10</v>
      </c>
      <c r="E4" s="57">
        <f>IF(_xlfn.IFNA(MATCH(A4,'Center Switch 2'!A:A, 0),0)&gt;0,1,0)</f>
        <v>1</v>
      </c>
      <c r="F4" s="57">
        <f>_xlfn.IFNA(VLOOKUP(A4,'Center Switch 2'!A:G,2,0),0)</f>
        <v>2</v>
      </c>
      <c r="G4" s="57">
        <f>_xlfn.IFNA(VLOOKUP(A4,'Center Switch 2'!A:G,4,0),0)</f>
        <v>2</v>
      </c>
      <c r="H4" s="57">
        <f>_xlfn.IFNA(VLOOKUP(A4,'Center Switch 2'!A:G,5,0),0)</f>
        <v>2</v>
      </c>
      <c r="I4" s="57">
        <f>_xlfn.IFNA(VLOOKUP(A4,'Center Switch 2'!A:G,6,0),0)</f>
        <v>0</v>
      </c>
      <c r="J4" s="57">
        <f>_xlfn.IFNA(VLOOKUP(A4,'Center Switch 2'!A:G,7,0),0)</f>
        <v>0</v>
      </c>
      <c r="K4" s="59">
        <f>AP4</f>
        <v>0.2</v>
      </c>
      <c r="L4" s="59">
        <f>AQ4</f>
        <v>2.6</v>
      </c>
      <c r="M4" s="59">
        <f>AS4</f>
        <v>0.2</v>
      </c>
      <c r="N4" s="59">
        <f>2*O4</f>
        <v>7.2</v>
      </c>
      <c r="O4" s="59">
        <f>AO4</f>
        <v>3.6</v>
      </c>
      <c r="R4" s="59">
        <f>AL4</f>
        <v>6.6</v>
      </c>
      <c r="S4" s="61">
        <f>'Raw Data'!CT29</f>
        <v>4</v>
      </c>
      <c r="T4" s="61">
        <f>'Raw Data'!CR29</f>
        <v>3</v>
      </c>
      <c r="U4" s="61">
        <f>'Raw Data'!CW29</f>
        <v>3.5</v>
      </c>
      <c r="V4" s="61">
        <f>'Raw Data'!DA29</f>
        <v>4.75</v>
      </c>
      <c r="W4" s="61">
        <f>BV4</f>
        <v>3.9</v>
      </c>
      <c r="X4" s="39">
        <v>0</v>
      </c>
      <c r="Z4" s="39">
        <v>0</v>
      </c>
      <c r="AD4" s="12">
        <f>'Raw Data'!D29</f>
        <v>2</v>
      </c>
      <c r="AE4" s="13">
        <f>'Raw Data'!E29</f>
        <v>2</v>
      </c>
      <c r="AF4" s="13">
        <f>'Raw Data'!F29</f>
        <v>6</v>
      </c>
      <c r="AG4" s="13">
        <f>'Raw Data'!G29</f>
        <v>10</v>
      </c>
      <c r="AH4" s="13">
        <f>'Raw Data'!O29</f>
        <v>7</v>
      </c>
      <c r="AI4" s="13">
        <f>'Raw Data'!T29</f>
        <v>4</v>
      </c>
      <c r="AJ4" s="13">
        <f>'Raw Data'!Y29</f>
        <v>0</v>
      </c>
      <c r="AK4" s="13">
        <f>'Raw Data'!AD29</f>
        <v>0</v>
      </c>
      <c r="AL4" s="22">
        <f>'Raw Data'!BV29</f>
        <v>6.6</v>
      </c>
      <c r="AM4" s="15">
        <f>'Raw Data'!BG29</f>
        <v>0.4</v>
      </c>
      <c r="AN4" s="15">
        <f>'Raw Data'!BL29</f>
        <v>3.2</v>
      </c>
      <c r="AO4" s="15">
        <f>AM4+AN4</f>
        <v>3.6</v>
      </c>
      <c r="AP4" s="15">
        <f>'Raw Data'!AW29</f>
        <v>0.2</v>
      </c>
      <c r="AQ4" s="15">
        <f>'Raw Data'!BB29</f>
        <v>2.6</v>
      </c>
      <c r="AR4" s="15">
        <f>AP4+AQ4</f>
        <v>2.8000000000000003</v>
      </c>
      <c r="AS4" s="15">
        <f>'Raw Data'!BQ29</f>
        <v>0.2</v>
      </c>
      <c r="AT4" s="16">
        <f>'Raw Data'!BY29</f>
        <v>0.7</v>
      </c>
      <c r="AU4" s="26">
        <f>'Raw Data'!AI29</f>
        <v>7.6</v>
      </c>
      <c r="AV4" s="27">
        <f>SUM(AX4:AZ4)</f>
        <v>6</v>
      </c>
      <c r="AW4" s="27">
        <f>'Raw Data'!AN29</f>
        <v>1.6</v>
      </c>
      <c r="AX4" s="27">
        <f>'Raw Data'!AS29</f>
        <v>0.2</v>
      </c>
      <c r="AY4" s="27">
        <f>'Raw Data'!AU29</f>
        <v>3.6</v>
      </c>
      <c r="AZ4" s="27">
        <f>'Raw Data'!AL29</f>
        <v>2.2000000000000002</v>
      </c>
      <c r="BA4" s="17">
        <f>'Raw Data'!CF29</f>
        <v>87.5</v>
      </c>
      <c r="BB4" s="18">
        <f>'Raw Data'!CJ29</f>
        <v>5</v>
      </c>
      <c r="BC4" s="18">
        <f>'Raw Data'!CM29</f>
        <v>0</v>
      </c>
      <c r="BD4" s="18">
        <f>'Raw Data'!CO29</f>
        <v>0</v>
      </c>
      <c r="BE4" s="19">
        <f>'Raw Data'!CP29</f>
        <v>1</v>
      </c>
      <c r="BF4" s="20">
        <f>'Raw Data'!DO29/$C4</f>
        <v>0.3</v>
      </c>
      <c r="BG4" s="20">
        <f>'Raw Data'!DG29/$C4</f>
        <v>0</v>
      </c>
      <c r="BH4" s="20">
        <f>'Raw Data'!DK29/$C4</f>
        <v>2.2000000000000002</v>
      </c>
      <c r="BI4" s="20">
        <f>'Raw Data'!DS29/$C4</f>
        <v>1.1000000000000001</v>
      </c>
      <c r="BJ4" s="12">
        <f>'Raw Data'!DP29/$C4</f>
        <v>0</v>
      </c>
      <c r="BK4" s="12">
        <f>'Raw Data'!DH29/$C4</f>
        <v>0.1</v>
      </c>
      <c r="BL4" s="12">
        <f>'Raw Data'!DL29/$C4</f>
        <v>0</v>
      </c>
      <c r="BM4" s="12">
        <f>'Raw Data'!DT29/$C4</f>
        <v>0</v>
      </c>
      <c r="BN4" s="22">
        <f>'Raw Data'!DQ29/$C4</f>
        <v>0.5</v>
      </c>
      <c r="BO4" s="22">
        <f>'Raw Data'!DI29/$C4</f>
        <v>0</v>
      </c>
      <c r="BP4" s="22">
        <f>'Raw Data'!DM29/$C4</f>
        <v>1.6</v>
      </c>
      <c r="BQ4" s="22">
        <f>'Raw Data'!DU29/$C4</f>
        <v>0.6</v>
      </c>
      <c r="BR4" s="17">
        <f>'Raw Data'!DR29/$C4</f>
        <v>0</v>
      </c>
      <c r="BS4" s="17">
        <f>'Raw Data'!DJ29/$C4</f>
        <v>0.1</v>
      </c>
      <c r="BT4" s="17">
        <f>'Raw Data'!DN29/$C4</f>
        <v>0</v>
      </c>
      <c r="BU4" s="17">
        <f>'Raw Data'!DV29/$C4</f>
        <v>0</v>
      </c>
      <c r="BV4" s="12">
        <f>'Raw Data'!EM29</f>
        <v>3.9</v>
      </c>
      <c r="BW4" s="13">
        <f>'Raw Data'!EN29</f>
        <v>0</v>
      </c>
      <c r="BX4" s="13">
        <f>'Raw Data'!CC29</f>
        <v>22</v>
      </c>
      <c r="BY4" s="13">
        <f>SUM(AR4:AS4)</f>
        <v>3.0000000000000004</v>
      </c>
    </row>
    <row r="5" spans="1:78" x14ac:dyDescent="0.25">
      <c r="A5">
        <f>'Raw Data'!A12</f>
        <v>1619</v>
      </c>
      <c r="B5" t="str">
        <f>'Raw Data'!B12</f>
        <v xml:space="preserve"> Up-A-Creek Robotics</v>
      </c>
      <c r="C5">
        <f>'Raw Data'!C12</f>
        <v>11</v>
      </c>
      <c r="E5" s="57">
        <f>IF(_xlfn.IFNA(MATCH(A5,'Center Switch 2'!A:A, 0),0)&gt;0,1,0)</f>
        <v>1</v>
      </c>
      <c r="F5" s="57">
        <f>_xlfn.IFNA(VLOOKUP(A5,'Center Switch 2'!A:G,2,0),0)</f>
        <v>7</v>
      </c>
      <c r="G5" s="57">
        <f>_xlfn.IFNA(VLOOKUP(A5,'Center Switch 2'!A:G,4,0),0)</f>
        <v>9</v>
      </c>
      <c r="H5" s="57">
        <f>_xlfn.IFNA(VLOOKUP(A5,'Center Switch 2'!A:G,5,0),0)</f>
        <v>1.2857142857142858</v>
      </c>
      <c r="I5" s="57">
        <f>_xlfn.IFNA(VLOOKUP(A5,'Center Switch 2'!A:G,6,0),0)</f>
        <v>0</v>
      </c>
      <c r="J5" s="57">
        <f>_xlfn.IFNA(VLOOKUP(A5,'Center Switch 2'!A:G,7,0),0)</f>
        <v>0</v>
      </c>
      <c r="K5" s="59">
        <f>AP5</f>
        <v>0.36399999999999999</v>
      </c>
      <c r="L5" s="59">
        <f>AQ5</f>
        <v>1.5449999999999999</v>
      </c>
      <c r="M5" s="59">
        <f>AS5</f>
        <v>0.54500000000000004</v>
      </c>
      <c r="N5" s="59">
        <f>2*O5</f>
        <v>8.7280000000000015</v>
      </c>
      <c r="O5" s="59">
        <f>AO5</f>
        <v>4.3640000000000008</v>
      </c>
      <c r="R5" s="59">
        <f>AL5</f>
        <v>6.8179999999999996</v>
      </c>
      <c r="S5" s="61">
        <f>'Raw Data'!CT12</f>
        <v>4.5999999999999996</v>
      </c>
      <c r="T5" s="61">
        <f>'Raw Data'!CR12</f>
        <v>2.6669999999999998</v>
      </c>
      <c r="U5" s="61">
        <f>'Raw Data'!CW12</f>
        <v>3.4380000000000002</v>
      </c>
      <c r="V5" s="61">
        <f>'Raw Data'!DA12</f>
        <v>3</v>
      </c>
      <c r="W5" s="61">
        <f>BV5</f>
        <v>4</v>
      </c>
      <c r="X5" s="39">
        <v>0</v>
      </c>
      <c r="Z5" s="39">
        <v>0</v>
      </c>
      <c r="AD5" s="12">
        <f>'Raw Data'!D12</f>
        <v>4</v>
      </c>
      <c r="AE5" s="13">
        <f>'Raw Data'!E12</f>
        <v>7</v>
      </c>
      <c r="AF5" s="13">
        <f>'Raw Data'!F12</f>
        <v>0</v>
      </c>
      <c r="AG5" s="13">
        <f>'Raw Data'!G12</f>
        <v>11</v>
      </c>
      <c r="AH5" s="13">
        <f>'Raw Data'!O12</f>
        <v>12</v>
      </c>
      <c r="AI5" s="13">
        <f>'Raw Data'!T12</f>
        <v>6</v>
      </c>
      <c r="AJ5" s="13">
        <f>'Raw Data'!Y12</f>
        <v>0</v>
      </c>
      <c r="AK5" s="13">
        <f>'Raw Data'!AD12</f>
        <v>0</v>
      </c>
      <c r="AL5" s="22">
        <f>'Raw Data'!BV12</f>
        <v>6.8179999999999996</v>
      </c>
      <c r="AM5" s="15">
        <f>'Raw Data'!BG12</f>
        <v>2.2730000000000001</v>
      </c>
      <c r="AN5" s="15">
        <f>'Raw Data'!BL12</f>
        <v>2.0910000000000002</v>
      </c>
      <c r="AO5" s="15">
        <f>AM5+AN5</f>
        <v>4.3640000000000008</v>
      </c>
      <c r="AP5" s="15">
        <f>'Raw Data'!AW12</f>
        <v>0.36399999999999999</v>
      </c>
      <c r="AQ5" s="15">
        <f>'Raw Data'!BB12</f>
        <v>1.5449999999999999</v>
      </c>
      <c r="AR5" s="15">
        <f>AP5+AQ5</f>
        <v>1.9089999999999998</v>
      </c>
      <c r="AS5" s="15">
        <f>'Raw Data'!BQ12</f>
        <v>0.54500000000000004</v>
      </c>
      <c r="AT5" s="16">
        <f>'Raw Data'!BY12</f>
        <v>9.0999999999999998E-2</v>
      </c>
      <c r="AU5" s="26">
        <f>'Raw Data'!AI12</f>
        <v>7.3639999999999999</v>
      </c>
      <c r="AV5" s="27">
        <f>SUM(AX5:AZ5)</f>
        <v>6.3639999999999999</v>
      </c>
      <c r="AW5" s="27">
        <f>'Raw Data'!AN12</f>
        <v>1</v>
      </c>
      <c r="AX5" s="27">
        <f>'Raw Data'!AS12</f>
        <v>0.81799999999999995</v>
      </c>
      <c r="AY5" s="27">
        <f>'Raw Data'!AU12</f>
        <v>4.0910000000000002</v>
      </c>
      <c r="AZ5" s="27">
        <f>'Raw Data'!AL12</f>
        <v>1.4550000000000001</v>
      </c>
      <c r="BA5" s="17">
        <f>'Raw Data'!CF12</f>
        <v>90</v>
      </c>
      <c r="BB5" s="18">
        <f>'Raw Data'!CJ12</f>
        <v>7</v>
      </c>
      <c r="BC5" s="18">
        <f>'Raw Data'!CM12</f>
        <v>0</v>
      </c>
      <c r="BD5" s="18">
        <f>'Raw Data'!CO12</f>
        <v>0</v>
      </c>
      <c r="BE5" s="19">
        <f>'Raw Data'!CP12</f>
        <v>0</v>
      </c>
      <c r="BF5" s="20">
        <f>'Raw Data'!DO12/$C5</f>
        <v>0.45454545454545453</v>
      </c>
      <c r="BG5" s="20">
        <f>'Raw Data'!DG12/$C5</f>
        <v>0</v>
      </c>
      <c r="BH5" s="20">
        <f>'Raw Data'!DK12/$C5</f>
        <v>3.1818181818181817</v>
      </c>
      <c r="BI5" s="20">
        <f>'Raw Data'!DS12/$C5</f>
        <v>0.90909090909090906</v>
      </c>
      <c r="BJ5" s="12">
        <f>'Raw Data'!DP12/$C5</f>
        <v>0</v>
      </c>
      <c r="BK5" s="12">
        <f>'Raw Data'!DH12/$C5</f>
        <v>0.36363636363636365</v>
      </c>
      <c r="BL5" s="12">
        <f>'Raw Data'!DL12/$C5</f>
        <v>9.0909090909090912E-2</v>
      </c>
      <c r="BM5" s="12">
        <f>'Raw Data'!DT12/$C5</f>
        <v>0.18181818181818182</v>
      </c>
      <c r="BN5" s="22">
        <f>'Raw Data'!DQ12/$C5</f>
        <v>0.27272727272727271</v>
      </c>
      <c r="BO5" s="22">
        <f>'Raw Data'!DI12/$C5</f>
        <v>0</v>
      </c>
      <c r="BP5" s="22">
        <f>'Raw Data'!DM12/$C5</f>
        <v>1.1818181818181819</v>
      </c>
      <c r="BQ5" s="22">
        <f>'Raw Data'!DU12/$C5</f>
        <v>0.18181818181818182</v>
      </c>
      <c r="BR5" s="17">
        <f>'Raw Data'!DR12/$C5</f>
        <v>9.0909090909090912E-2</v>
      </c>
      <c r="BS5" s="17">
        <f>'Raw Data'!DJ12/$C5</f>
        <v>0.45454545454545453</v>
      </c>
      <c r="BT5" s="17">
        <f>'Raw Data'!DN12/$C5</f>
        <v>0</v>
      </c>
      <c r="BU5" s="17">
        <f>'Raw Data'!DV12/$C5</f>
        <v>0</v>
      </c>
      <c r="BV5" s="12">
        <f>'Raw Data'!EM12</f>
        <v>4</v>
      </c>
      <c r="BW5" s="13">
        <f>'Raw Data'!EN12</f>
        <v>3</v>
      </c>
      <c r="BX5" s="13">
        <f>'Raw Data'!CC12</f>
        <v>22</v>
      </c>
      <c r="BY5" s="13">
        <f>SUM(AR5:AS5)</f>
        <v>2.4539999999999997</v>
      </c>
    </row>
    <row r="6" spans="1:78" x14ac:dyDescent="0.25">
      <c r="A6">
        <f>'Raw Data'!A13</f>
        <v>1648</v>
      </c>
      <c r="B6" t="str">
        <f>'Raw Data'!B13</f>
        <v xml:space="preserve"> G3 Robotics</v>
      </c>
      <c r="C6">
        <f>'Raw Data'!C13</f>
        <v>10</v>
      </c>
      <c r="E6" s="57">
        <f>IF(_xlfn.IFNA(MATCH(A6,'Center Switch 2'!A:A, 0),0)&gt;0,1,0)</f>
        <v>1</v>
      </c>
      <c r="F6" s="57">
        <f>_xlfn.IFNA(VLOOKUP(A6,'Center Switch 2'!A:G,2,0),0)</f>
        <v>4</v>
      </c>
      <c r="G6" s="57">
        <f>_xlfn.IFNA(VLOOKUP(A6,'Center Switch 2'!A:G,4,0),0)</f>
        <v>4</v>
      </c>
      <c r="H6" s="57">
        <f>_xlfn.IFNA(VLOOKUP(A6,'Center Switch 2'!A:G,5,0),0)</f>
        <v>1</v>
      </c>
      <c r="I6" s="57">
        <f>_xlfn.IFNA(VLOOKUP(A6,'Center Switch 2'!A:G,6,0),0)</f>
        <v>0</v>
      </c>
      <c r="J6" s="57">
        <f>_xlfn.IFNA(VLOOKUP(A6,'Center Switch 2'!A:G,7,0),0)</f>
        <v>0</v>
      </c>
      <c r="K6" s="59">
        <f>AP6</f>
        <v>1.3</v>
      </c>
      <c r="L6" s="59">
        <f>AQ6</f>
        <v>0.9</v>
      </c>
      <c r="M6" s="59">
        <f>AS6</f>
        <v>2</v>
      </c>
      <c r="N6" s="59">
        <f>2*O6</f>
        <v>6.8</v>
      </c>
      <c r="O6" s="59">
        <f>AO6</f>
        <v>3.4</v>
      </c>
      <c r="R6" s="59">
        <f>AL6</f>
        <v>7.6</v>
      </c>
      <c r="S6" s="61">
        <f>'Raw Data'!CT13</f>
        <v>5.5419999999999998</v>
      </c>
      <c r="T6" s="61">
        <f>'Raw Data'!CR13</f>
        <v>2.75</v>
      </c>
      <c r="U6" s="61">
        <f>'Raw Data'!CW13</f>
        <v>5</v>
      </c>
      <c r="V6" s="61">
        <f>'Raw Data'!DA13</f>
        <v>6</v>
      </c>
      <c r="W6" s="61">
        <f>BV6</f>
        <v>3.3</v>
      </c>
      <c r="X6" s="39">
        <v>0</v>
      </c>
      <c r="Z6" s="39">
        <v>0</v>
      </c>
      <c r="AD6" s="12">
        <f>'Raw Data'!D13</f>
        <v>2</v>
      </c>
      <c r="AE6" s="13">
        <f>'Raw Data'!E13</f>
        <v>4</v>
      </c>
      <c r="AF6" s="13">
        <f>'Raw Data'!F13</f>
        <v>4</v>
      </c>
      <c r="AG6" s="13">
        <f>'Raw Data'!G13</f>
        <v>10</v>
      </c>
      <c r="AH6" s="13">
        <f>'Raw Data'!O13</f>
        <v>4</v>
      </c>
      <c r="AI6" s="13">
        <f>'Raw Data'!T13</f>
        <v>4</v>
      </c>
      <c r="AJ6" s="13">
        <f>'Raw Data'!Y13</f>
        <v>0</v>
      </c>
      <c r="AK6" s="13">
        <f>'Raw Data'!AD13</f>
        <v>0</v>
      </c>
      <c r="AL6" s="22">
        <f>'Raw Data'!BV13</f>
        <v>7.6</v>
      </c>
      <c r="AM6" s="15">
        <f>'Raw Data'!BG13</f>
        <v>0.3</v>
      </c>
      <c r="AN6" s="15">
        <f>'Raw Data'!BL13</f>
        <v>3.1</v>
      </c>
      <c r="AO6" s="15">
        <f>AM6+AN6</f>
        <v>3.4</v>
      </c>
      <c r="AP6" s="15">
        <f>'Raw Data'!AW13</f>
        <v>1.3</v>
      </c>
      <c r="AQ6" s="15">
        <f>'Raw Data'!BB13</f>
        <v>0.9</v>
      </c>
      <c r="AR6" s="15">
        <f>AP6+AQ6</f>
        <v>2.2000000000000002</v>
      </c>
      <c r="AS6" s="15">
        <f>'Raw Data'!BQ13</f>
        <v>2</v>
      </c>
      <c r="AT6" s="16">
        <f>'Raw Data'!BY13</f>
        <v>0.7</v>
      </c>
      <c r="AU6" s="26">
        <f>'Raw Data'!AI13</f>
        <v>8.6999999999999993</v>
      </c>
      <c r="AV6" s="27">
        <f>SUM(AX6:AZ6)</f>
        <v>8.6</v>
      </c>
      <c r="AW6" s="27">
        <f>'Raw Data'!AN13</f>
        <v>0.1</v>
      </c>
      <c r="AX6" s="27">
        <f>'Raw Data'!AS13</f>
        <v>2.4</v>
      </c>
      <c r="AY6" s="27">
        <f>'Raw Data'!AU13</f>
        <v>3.9</v>
      </c>
      <c r="AZ6" s="27">
        <f>'Raw Data'!AL13</f>
        <v>2.2999999999999998</v>
      </c>
      <c r="BA6" s="17">
        <f>'Raw Data'!CF13</f>
        <v>50</v>
      </c>
      <c r="BB6" s="18">
        <f>'Raw Data'!CJ13</f>
        <v>0</v>
      </c>
      <c r="BC6" s="18">
        <f>'Raw Data'!CM13</f>
        <v>0</v>
      </c>
      <c r="BD6" s="18">
        <f>'Raw Data'!CO13</f>
        <v>0</v>
      </c>
      <c r="BE6" s="19">
        <f>'Raw Data'!CP13</f>
        <v>2</v>
      </c>
      <c r="BF6" s="20">
        <f>'Raw Data'!DO13/$C6</f>
        <v>0</v>
      </c>
      <c r="BG6" s="20">
        <f>'Raw Data'!DG13/$C6</f>
        <v>0.7</v>
      </c>
      <c r="BH6" s="20">
        <f>'Raw Data'!DK13/$C6</f>
        <v>2.1</v>
      </c>
      <c r="BI6" s="20">
        <f>'Raw Data'!DS13/$C6</f>
        <v>0.6</v>
      </c>
      <c r="BJ6" s="12">
        <f>'Raw Data'!DP13/$C6</f>
        <v>0</v>
      </c>
      <c r="BK6" s="12">
        <f>'Raw Data'!DH13/$C6</f>
        <v>0.5</v>
      </c>
      <c r="BL6" s="12">
        <f>'Raw Data'!DL13/$C6</f>
        <v>0.8</v>
      </c>
      <c r="BM6" s="12">
        <f>'Raw Data'!DT13/$C6</f>
        <v>0</v>
      </c>
      <c r="BN6" s="22">
        <f>'Raw Data'!DQ13/$C6</f>
        <v>0.2</v>
      </c>
      <c r="BO6" s="22">
        <f>'Raw Data'!DI13/$C6</f>
        <v>0.1</v>
      </c>
      <c r="BP6" s="22">
        <f>'Raw Data'!DM13/$C6</f>
        <v>0.4</v>
      </c>
      <c r="BQ6" s="22">
        <f>'Raw Data'!DU13/$C6</f>
        <v>0.2</v>
      </c>
      <c r="BR6" s="17">
        <f>'Raw Data'!DR13/$C6</f>
        <v>0.1</v>
      </c>
      <c r="BS6" s="17">
        <f>'Raw Data'!DJ13/$C6</f>
        <v>1.7</v>
      </c>
      <c r="BT6" s="17">
        <f>'Raw Data'!DN13/$C6</f>
        <v>0.1</v>
      </c>
      <c r="BU6" s="17">
        <f>'Raw Data'!DV13/$C6</f>
        <v>0.2</v>
      </c>
      <c r="BV6" s="12">
        <f>'Raw Data'!EM13</f>
        <v>3.3</v>
      </c>
      <c r="BW6" s="13">
        <f>'Raw Data'!EN13</f>
        <v>1</v>
      </c>
      <c r="BX6" s="13">
        <f>'Raw Data'!CC13</f>
        <v>11</v>
      </c>
      <c r="BY6" s="13">
        <f>SUM(AR6:AS6)</f>
        <v>4.2</v>
      </c>
    </row>
    <row r="7" spans="1:78" x14ac:dyDescent="0.25">
      <c r="A7">
        <f>'Raw Data'!A40</f>
        <v>4513</v>
      </c>
      <c r="B7" t="str">
        <f>'Raw Data'!B40</f>
        <v xml:space="preserve"> Circuit Breakers</v>
      </c>
      <c r="C7">
        <f>'Raw Data'!C40</f>
        <v>10</v>
      </c>
      <c r="E7" s="57">
        <f>IF(_xlfn.IFNA(MATCH(A7,'Center Switch 2'!A:A, 0),0)&gt;0,1,0)</f>
        <v>1</v>
      </c>
      <c r="F7" s="57">
        <f>_xlfn.IFNA(VLOOKUP(A7,'Center Switch 2'!A:G,2,0),0)</f>
        <v>5</v>
      </c>
      <c r="G7" s="57">
        <f>_xlfn.IFNA(VLOOKUP(A7,'Center Switch 2'!A:G,4,0),0)</f>
        <v>5</v>
      </c>
      <c r="H7" s="57">
        <f>_xlfn.IFNA(VLOOKUP(A7,'Center Switch 2'!A:G,5,0),0)</f>
        <v>1</v>
      </c>
      <c r="I7" s="57">
        <f>_xlfn.IFNA(VLOOKUP(A7,'Center Switch 2'!A:G,6,0),0)</f>
        <v>0</v>
      </c>
      <c r="J7" s="57">
        <f>_xlfn.IFNA(VLOOKUP(A7,'Center Switch 2'!A:G,7,0),0)</f>
        <v>0</v>
      </c>
      <c r="K7" s="59">
        <f>AP7</f>
        <v>1.3</v>
      </c>
      <c r="L7" s="59">
        <f>AQ7</f>
        <v>0.3</v>
      </c>
      <c r="M7" s="59">
        <f>AS7</f>
        <v>2.6</v>
      </c>
      <c r="N7" s="59">
        <f>2*O7</f>
        <v>4.2</v>
      </c>
      <c r="O7" s="59">
        <f>AO7</f>
        <v>2.1</v>
      </c>
      <c r="R7" s="59">
        <f>AL7</f>
        <v>6.3</v>
      </c>
      <c r="S7" s="61">
        <f>'Raw Data'!CT40</f>
        <v>3.8439999999999999</v>
      </c>
      <c r="T7" s="61">
        <f>'Raw Data'!CR40</f>
        <v>4</v>
      </c>
      <c r="U7" s="61">
        <f>'Raw Data'!CW40</f>
        <v>13.25</v>
      </c>
      <c r="V7" s="61">
        <f>'Raw Data'!DA40</f>
        <v>0</v>
      </c>
      <c r="W7" s="61">
        <f>BV7</f>
        <v>3.4</v>
      </c>
      <c r="X7" s="39">
        <v>0</v>
      </c>
      <c r="Z7" s="39">
        <v>0</v>
      </c>
      <c r="AD7" s="12">
        <f>'Raw Data'!D40</f>
        <v>4</v>
      </c>
      <c r="AE7" s="13">
        <f>'Raw Data'!E40</f>
        <v>5</v>
      </c>
      <c r="AF7" s="13">
        <f>'Raw Data'!F40</f>
        <v>1</v>
      </c>
      <c r="AG7" s="13">
        <f>'Raw Data'!G40</f>
        <v>9</v>
      </c>
      <c r="AH7" s="13">
        <f>'Raw Data'!O40</f>
        <v>5</v>
      </c>
      <c r="AI7" s="13">
        <f>'Raw Data'!T40</f>
        <v>4</v>
      </c>
      <c r="AJ7" s="13">
        <f>'Raw Data'!Y40</f>
        <v>0</v>
      </c>
      <c r="AK7" s="13">
        <f>'Raw Data'!AD40</f>
        <v>0</v>
      </c>
      <c r="AL7" s="22">
        <f>'Raw Data'!BV40</f>
        <v>6.3</v>
      </c>
      <c r="AM7" s="15">
        <f>'Raw Data'!BG40</f>
        <v>0.3</v>
      </c>
      <c r="AN7" s="15">
        <f>'Raw Data'!BL40</f>
        <v>1.8</v>
      </c>
      <c r="AO7" s="15">
        <f>AM7+AN7</f>
        <v>2.1</v>
      </c>
      <c r="AP7" s="15">
        <f>'Raw Data'!AW40</f>
        <v>1.3</v>
      </c>
      <c r="AQ7" s="15">
        <f>'Raw Data'!BB40</f>
        <v>0.3</v>
      </c>
      <c r="AR7" s="15">
        <f>AP7+AQ7</f>
        <v>1.6</v>
      </c>
      <c r="AS7" s="15">
        <f>'Raw Data'!BQ40</f>
        <v>2.6</v>
      </c>
      <c r="AT7" s="16">
        <f>'Raw Data'!BY40</f>
        <v>0.2</v>
      </c>
      <c r="AU7" s="26">
        <f>'Raw Data'!AI40</f>
        <v>6.6</v>
      </c>
      <c r="AV7" s="27">
        <f>SUM(AX7:AZ7)</f>
        <v>6.6</v>
      </c>
      <c r="AW7" s="27">
        <f>'Raw Data'!AN40</f>
        <v>0</v>
      </c>
      <c r="AX7" s="27">
        <f>'Raw Data'!AS40</f>
        <v>3</v>
      </c>
      <c r="AY7" s="27">
        <f>'Raw Data'!AU40</f>
        <v>2.5</v>
      </c>
      <c r="AZ7" s="27">
        <f>'Raw Data'!AL40</f>
        <v>1.1000000000000001</v>
      </c>
      <c r="BA7" s="17">
        <f>'Raw Data'!CF40</f>
        <v>80</v>
      </c>
      <c r="BB7" s="18">
        <f>'Raw Data'!CJ40</f>
        <v>0</v>
      </c>
      <c r="BC7" s="18">
        <f>'Raw Data'!CM40</f>
        <v>0</v>
      </c>
      <c r="BD7" s="18">
        <f>'Raw Data'!CO40</f>
        <v>0</v>
      </c>
      <c r="BE7" s="19">
        <f>'Raw Data'!CP40</f>
        <v>5</v>
      </c>
      <c r="BF7" s="20">
        <f>'Raw Data'!DO40/$C7</f>
        <v>0</v>
      </c>
      <c r="BG7" s="20">
        <f>'Raw Data'!DG40/$C7</f>
        <v>0.2</v>
      </c>
      <c r="BH7" s="20">
        <f>'Raw Data'!DK40/$C7</f>
        <v>1.6</v>
      </c>
      <c r="BI7" s="20">
        <f>'Raw Data'!DS40/$C7</f>
        <v>0.3</v>
      </c>
      <c r="BJ7" s="12">
        <f>'Raw Data'!DP40/$C7</f>
        <v>0</v>
      </c>
      <c r="BK7" s="12">
        <f>'Raw Data'!DH40/$C7</f>
        <v>0.4</v>
      </c>
      <c r="BL7" s="12">
        <f>'Raw Data'!DL40/$C7</f>
        <v>1</v>
      </c>
      <c r="BM7" s="12">
        <f>'Raw Data'!DT40/$C7</f>
        <v>0.1</v>
      </c>
      <c r="BN7" s="22">
        <f>'Raw Data'!DQ40/$C7</f>
        <v>0</v>
      </c>
      <c r="BO7" s="22">
        <f>'Raw Data'!DI40/$C7</f>
        <v>0</v>
      </c>
      <c r="BP7" s="22">
        <f>'Raw Data'!DM40/$C7</f>
        <v>0.3</v>
      </c>
      <c r="BQ7" s="22">
        <f>'Raw Data'!DU40/$C7</f>
        <v>0</v>
      </c>
      <c r="BR7" s="17">
        <f>'Raw Data'!DR40/$C7</f>
        <v>0</v>
      </c>
      <c r="BS7" s="17">
        <f>'Raw Data'!DJ40/$C7</f>
        <v>1.7</v>
      </c>
      <c r="BT7" s="17">
        <f>'Raw Data'!DN40/$C7</f>
        <v>0.8</v>
      </c>
      <c r="BU7" s="17">
        <f>'Raw Data'!DV40/$C7</f>
        <v>0</v>
      </c>
      <c r="BV7" s="12">
        <f>'Raw Data'!EM40</f>
        <v>3.4</v>
      </c>
      <c r="BW7" s="13">
        <f>'Raw Data'!EN40</f>
        <v>2</v>
      </c>
      <c r="BX7" s="13">
        <f>'Raw Data'!CC40</f>
        <v>11</v>
      </c>
      <c r="BY7" s="13">
        <f>SUM(AR7:AS7)</f>
        <v>4.2</v>
      </c>
    </row>
    <row r="8" spans="1:78" x14ac:dyDescent="0.25">
      <c r="A8">
        <f>'Raw Data'!A4</f>
        <v>624</v>
      </c>
      <c r="B8" t="str">
        <f>'Raw Data'!B4</f>
        <v xml:space="preserve"> CRyptonite</v>
      </c>
      <c r="C8">
        <f>'Raw Data'!C4</f>
        <v>10</v>
      </c>
      <c r="E8" s="57">
        <f>IF(_xlfn.IFNA(MATCH(A8,'Center Switch 2'!A:A, 0),0)&gt;0,1,0)</f>
        <v>1</v>
      </c>
      <c r="F8" s="57">
        <f>_xlfn.IFNA(VLOOKUP(A8,'Center Switch 2'!A:G,2,0),0)</f>
        <v>6</v>
      </c>
      <c r="G8" s="57">
        <f>_xlfn.IFNA(VLOOKUP(A8,'Center Switch 2'!A:G,4,0),0)</f>
        <v>5</v>
      </c>
      <c r="H8" s="57">
        <f>_xlfn.IFNA(VLOOKUP(A8,'Center Switch 2'!A:G,5,0),0)</f>
        <v>1</v>
      </c>
      <c r="I8" s="57">
        <f>_xlfn.IFNA(VLOOKUP(A8,'Center Switch 2'!A:G,6,0),0)</f>
        <v>0</v>
      </c>
      <c r="J8" s="57">
        <f>_xlfn.IFNA(VLOOKUP(A8,'Center Switch 2'!A:G,7,0),0)</f>
        <v>0</v>
      </c>
      <c r="K8" s="59">
        <f>AP8</f>
        <v>0.8</v>
      </c>
      <c r="L8" s="59">
        <f>AQ8</f>
        <v>0.9</v>
      </c>
      <c r="M8" s="59">
        <f>AS8</f>
        <v>0.4</v>
      </c>
      <c r="N8" s="59">
        <f>2*O8</f>
        <v>7</v>
      </c>
      <c r="O8" s="59">
        <f>AO8</f>
        <v>3.5</v>
      </c>
      <c r="R8" s="59">
        <f>AL8</f>
        <v>5.6</v>
      </c>
      <c r="S8" s="61">
        <f>'Raw Data'!CT4</f>
        <v>3.6669999999999998</v>
      </c>
      <c r="T8" s="61">
        <f>'Raw Data'!CR4</f>
        <v>3.6</v>
      </c>
      <c r="U8" s="61">
        <f>'Raw Data'!CW4</f>
        <v>5.5830000000000002</v>
      </c>
      <c r="V8" s="61">
        <f>'Raw Data'!DA4</f>
        <v>6</v>
      </c>
      <c r="W8" s="61">
        <f>BV8</f>
        <v>3.8</v>
      </c>
      <c r="X8" s="39">
        <v>0</v>
      </c>
      <c r="Z8" s="39">
        <v>0</v>
      </c>
      <c r="AD8" s="12">
        <f>'Raw Data'!D4</f>
        <v>4</v>
      </c>
      <c r="AE8" s="13">
        <f>'Raw Data'!E4</f>
        <v>6</v>
      </c>
      <c r="AF8" s="13">
        <f>'Raw Data'!F4</f>
        <v>0</v>
      </c>
      <c r="AG8" s="13">
        <f>'Raw Data'!G4</f>
        <v>10</v>
      </c>
      <c r="AH8" s="13">
        <f>'Raw Data'!O4</f>
        <v>6</v>
      </c>
      <c r="AI8" s="13">
        <f>'Raw Data'!T4</f>
        <v>5</v>
      </c>
      <c r="AJ8" s="13">
        <f>'Raw Data'!Y4</f>
        <v>0</v>
      </c>
      <c r="AK8" s="13">
        <f>'Raw Data'!AD4</f>
        <v>0</v>
      </c>
      <c r="AL8" s="22">
        <f>'Raw Data'!BV4</f>
        <v>5.6</v>
      </c>
      <c r="AM8" s="15">
        <f>'Raw Data'!BG4</f>
        <v>1.5</v>
      </c>
      <c r="AN8" s="15">
        <f>'Raw Data'!BL4</f>
        <v>2</v>
      </c>
      <c r="AO8" s="15">
        <f>AM8+AN8</f>
        <v>3.5</v>
      </c>
      <c r="AP8" s="15">
        <f>'Raw Data'!AW4</f>
        <v>0.8</v>
      </c>
      <c r="AQ8" s="15">
        <f>'Raw Data'!BB4</f>
        <v>0.9</v>
      </c>
      <c r="AR8" s="15">
        <f>AP8+AQ8</f>
        <v>1.7000000000000002</v>
      </c>
      <c r="AS8" s="15">
        <f>'Raw Data'!BQ4</f>
        <v>0.4</v>
      </c>
      <c r="AT8" s="16">
        <f>'Raw Data'!BY4</f>
        <v>0.1</v>
      </c>
      <c r="AU8" s="26">
        <f>'Raw Data'!AI4</f>
        <v>7</v>
      </c>
      <c r="AV8" s="27">
        <f>SUM(AX8:AZ8)</f>
        <v>6.7</v>
      </c>
      <c r="AW8" s="27">
        <f>'Raw Data'!AN4</f>
        <v>0.3</v>
      </c>
      <c r="AX8" s="27">
        <f>'Raw Data'!AS4</f>
        <v>0.8</v>
      </c>
      <c r="AY8" s="27">
        <f>'Raw Data'!AU4</f>
        <v>4.7</v>
      </c>
      <c r="AZ8" s="27">
        <f>'Raw Data'!AL4</f>
        <v>1.2</v>
      </c>
      <c r="BA8" s="17">
        <f>'Raw Data'!CF4</f>
        <v>70</v>
      </c>
      <c r="BB8" s="18">
        <f>'Raw Data'!CJ4</f>
        <v>6</v>
      </c>
      <c r="BC8" s="18">
        <f>'Raw Data'!CM4</f>
        <v>0</v>
      </c>
      <c r="BD8" s="18">
        <f>'Raw Data'!CO4</f>
        <v>0</v>
      </c>
      <c r="BE8" s="19">
        <f>'Raw Data'!CP4</f>
        <v>1</v>
      </c>
      <c r="BF8" s="20">
        <f>'Raw Data'!DO4/$C8</f>
        <v>0</v>
      </c>
      <c r="BG8" s="20">
        <f>'Raw Data'!DG4/$C8</f>
        <v>0</v>
      </c>
      <c r="BH8" s="20">
        <f>'Raw Data'!DK4/$C8</f>
        <v>2.8</v>
      </c>
      <c r="BI8" s="20">
        <f>'Raw Data'!DS4/$C8</f>
        <v>1.1000000000000001</v>
      </c>
      <c r="BJ8" s="12">
        <f>'Raw Data'!DP4/$C8</f>
        <v>0</v>
      </c>
      <c r="BK8" s="12">
        <f>'Raw Data'!DH4/$C8</f>
        <v>0.5</v>
      </c>
      <c r="BL8" s="12">
        <f>'Raw Data'!DL4/$C8</f>
        <v>0.7</v>
      </c>
      <c r="BM8" s="12">
        <f>'Raw Data'!DT4/$C8</f>
        <v>0.2</v>
      </c>
      <c r="BN8" s="22">
        <f>'Raw Data'!DQ4/$C8</f>
        <v>0.1</v>
      </c>
      <c r="BO8" s="22">
        <f>'Raw Data'!DI4/$C8</f>
        <v>0</v>
      </c>
      <c r="BP8" s="22">
        <f>'Raw Data'!DM4/$C8</f>
        <v>1.3</v>
      </c>
      <c r="BQ8" s="22">
        <f>'Raw Data'!DU4/$C8</f>
        <v>0</v>
      </c>
      <c r="BR8" s="17">
        <f>'Raw Data'!DR4/$C8</f>
        <v>0</v>
      </c>
      <c r="BS8" s="17">
        <f>'Raw Data'!DJ4/$C8</f>
        <v>0.3</v>
      </c>
      <c r="BT8" s="17">
        <f>'Raw Data'!DN4/$C8</f>
        <v>0.1</v>
      </c>
      <c r="BU8" s="17">
        <f>'Raw Data'!DV4/$C8</f>
        <v>0</v>
      </c>
      <c r="BV8" s="12">
        <f>'Raw Data'!EM4</f>
        <v>3.8</v>
      </c>
      <c r="BW8" s="13">
        <f>'Raw Data'!EN4</f>
        <v>3</v>
      </c>
      <c r="BX8" s="13">
        <f>'Raw Data'!CC4</f>
        <v>11</v>
      </c>
      <c r="BY8" s="13">
        <f>SUM(AR8:AS8)</f>
        <v>2.1</v>
      </c>
    </row>
    <row r="9" spans="1:78" x14ac:dyDescent="0.25">
      <c r="A9">
        <f>'Raw Data'!A2</f>
        <v>118</v>
      </c>
      <c r="B9" t="str">
        <f>'Raw Data'!B2</f>
        <v xml:space="preserve"> Robonauts</v>
      </c>
      <c r="C9">
        <f>'Raw Data'!C2</f>
        <v>10</v>
      </c>
      <c r="E9" s="57">
        <f>IF(_xlfn.IFNA(MATCH(A9,'Center Switch 2'!A:A, 0),0)&gt;0,1,0)</f>
        <v>1</v>
      </c>
      <c r="F9" s="57">
        <f>_xlfn.IFNA(VLOOKUP(A9,'Center Switch 2'!A:G,2,0),0)</f>
        <v>5</v>
      </c>
      <c r="G9" s="57">
        <f>_xlfn.IFNA(VLOOKUP(A9,'Center Switch 2'!A:G,4,0),0)</f>
        <v>4</v>
      </c>
      <c r="H9" s="57">
        <f>_xlfn.IFNA(VLOOKUP(A9,'Center Switch 2'!A:G,5,0),0)</f>
        <v>1</v>
      </c>
      <c r="I9" s="57">
        <f>_xlfn.IFNA(VLOOKUP(A9,'Center Switch 2'!A:G,6,0),0)</f>
        <v>0</v>
      </c>
      <c r="J9" s="57">
        <f>_xlfn.IFNA(VLOOKUP(A9,'Center Switch 2'!A:G,7,0),0)</f>
        <v>0</v>
      </c>
      <c r="K9" s="59">
        <f>AP9</f>
        <v>0.1</v>
      </c>
      <c r="L9" s="59">
        <f>AQ9</f>
        <v>0.8</v>
      </c>
      <c r="M9" s="59">
        <f>AS9</f>
        <v>0.8</v>
      </c>
      <c r="N9" s="59">
        <f>2*O9</f>
        <v>6.8</v>
      </c>
      <c r="O9" s="59">
        <f>AO9</f>
        <v>3.4</v>
      </c>
      <c r="R9" s="59">
        <f>AL9</f>
        <v>5.0999999999999996</v>
      </c>
      <c r="S9" s="61">
        <f>'Raw Data'!CT2</f>
        <v>5.9169999999999998</v>
      </c>
      <c r="T9" s="61">
        <f>'Raw Data'!CR2</f>
        <v>3</v>
      </c>
      <c r="U9" s="61">
        <f>'Raw Data'!CW2</f>
        <v>3.25</v>
      </c>
      <c r="V9" s="61">
        <f>'Raw Data'!DA2</f>
        <v>5</v>
      </c>
      <c r="W9" s="61">
        <f>BV9</f>
        <v>4.0999999999999996</v>
      </c>
      <c r="X9" s="39">
        <v>0</v>
      </c>
      <c r="Z9" s="39">
        <v>0</v>
      </c>
      <c r="AD9" s="12">
        <f>'Raw Data'!D2</f>
        <v>1</v>
      </c>
      <c r="AE9" s="13">
        <f>'Raw Data'!E2</f>
        <v>5</v>
      </c>
      <c r="AF9" s="13">
        <f>'Raw Data'!F2</f>
        <v>4</v>
      </c>
      <c r="AG9" s="13">
        <f>'Raw Data'!G2</f>
        <v>9</v>
      </c>
      <c r="AH9" s="13">
        <f>'Raw Data'!O2</f>
        <v>4</v>
      </c>
      <c r="AI9" s="13">
        <f>'Raw Data'!T2</f>
        <v>14</v>
      </c>
      <c r="AJ9" s="13">
        <f>'Raw Data'!Y2</f>
        <v>0</v>
      </c>
      <c r="AK9" s="13">
        <f>'Raw Data'!AD2</f>
        <v>0</v>
      </c>
      <c r="AL9" s="22">
        <f>'Raw Data'!BV2</f>
        <v>5.0999999999999996</v>
      </c>
      <c r="AM9" s="15">
        <f>'Raw Data'!BG2</f>
        <v>0.5</v>
      </c>
      <c r="AN9" s="15">
        <f>'Raw Data'!BL2</f>
        <v>2.9</v>
      </c>
      <c r="AO9" s="15">
        <f>AM9+AN9</f>
        <v>3.4</v>
      </c>
      <c r="AP9" s="15">
        <f>'Raw Data'!AW2</f>
        <v>0.1</v>
      </c>
      <c r="AQ9" s="15">
        <f>'Raw Data'!BB2</f>
        <v>0.8</v>
      </c>
      <c r="AR9" s="15">
        <f>AP9+AQ9</f>
        <v>0.9</v>
      </c>
      <c r="AS9" s="15">
        <f>'Raw Data'!BQ2</f>
        <v>0.8</v>
      </c>
      <c r="AT9" s="16">
        <f>'Raw Data'!BY2</f>
        <v>0.7</v>
      </c>
      <c r="AU9" s="26">
        <f>'Raw Data'!AI2</f>
        <v>6.7</v>
      </c>
      <c r="AV9" s="27">
        <f>SUM(AX9:AZ9)</f>
        <v>6.7</v>
      </c>
      <c r="AW9" s="27">
        <f>'Raw Data'!AN2</f>
        <v>0</v>
      </c>
      <c r="AX9" s="27">
        <f>'Raw Data'!AS2</f>
        <v>1.8</v>
      </c>
      <c r="AY9" s="27">
        <f>'Raw Data'!AU2</f>
        <v>2.4</v>
      </c>
      <c r="AZ9" s="27">
        <f>'Raw Data'!AL2</f>
        <v>2.5</v>
      </c>
      <c r="BA9" s="17">
        <f>'Raw Data'!CF2</f>
        <v>66.667000000000002</v>
      </c>
      <c r="BB9" s="18">
        <f>'Raw Data'!CJ2</f>
        <v>6</v>
      </c>
      <c r="BC9" s="18">
        <f>'Raw Data'!CM2</f>
        <v>0</v>
      </c>
      <c r="BD9" s="18">
        <f>'Raw Data'!CO2</f>
        <v>0</v>
      </c>
      <c r="BE9" s="19">
        <f>'Raw Data'!CP2</f>
        <v>0</v>
      </c>
      <c r="BF9" s="20">
        <f>'Raw Data'!DO2/$C9</f>
        <v>0</v>
      </c>
      <c r="BG9" s="20">
        <f>'Raw Data'!DG2/$C9</f>
        <v>0.4</v>
      </c>
      <c r="BH9" s="20">
        <f>'Raw Data'!DK2/$C9</f>
        <v>2.4</v>
      </c>
      <c r="BI9" s="20">
        <f>'Raw Data'!DS2/$C9</f>
        <v>0.7</v>
      </c>
      <c r="BJ9" s="12">
        <f>'Raw Data'!DP2/$C9</f>
        <v>0</v>
      </c>
      <c r="BK9" s="12">
        <f>'Raw Data'!DH2/$C9</f>
        <v>0.2</v>
      </c>
      <c r="BL9" s="12">
        <f>'Raw Data'!DL2/$C9</f>
        <v>0.1</v>
      </c>
      <c r="BM9" s="12">
        <f>'Raw Data'!DT2/$C9</f>
        <v>0</v>
      </c>
      <c r="BN9" s="22">
        <f>'Raw Data'!DQ2/$C9</f>
        <v>0.2</v>
      </c>
      <c r="BO9" s="22">
        <f>'Raw Data'!DI2/$C9</f>
        <v>0.1</v>
      </c>
      <c r="BP9" s="22">
        <f>'Raw Data'!DM2/$C9</f>
        <v>0.4</v>
      </c>
      <c r="BQ9" s="22">
        <f>'Raw Data'!DU2/$C9</f>
        <v>0.1</v>
      </c>
      <c r="BR9" s="17">
        <f>'Raw Data'!DR2/$C9</f>
        <v>0</v>
      </c>
      <c r="BS9" s="17">
        <f>'Raw Data'!DJ2/$C9</f>
        <v>0.7</v>
      </c>
      <c r="BT9" s="17">
        <f>'Raw Data'!DN2/$C9</f>
        <v>0.1</v>
      </c>
      <c r="BU9" s="17">
        <f>'Raw Data'!DV2/$C9</f>
        <v>0.1</v>
      </c>
      <c r="BV9" s="12">
        <f>'Raw Data'!EM2</f>
        <v>4.0999999999999996</v>
      </c>
      <c r="BW9" s="13">
        <f>'Raw Data'!EN2</f>
        <v>0</v>
      </c>
      <c r="BX9" s="13">
        <f>'Raw Data'!CC2</f>
        <v>22</v>
      </c>
      <c r="BY9" s="13">
        <f>SUM(AR9:AS9)</f>
        <v>1.7000000000000002</v>
      </c>
    </row>
    <row r="10" spans="1:78" x14ac:dyDescent="0.25">
      <c r="A10">
        <f>'Raw Data'!A28</f>
        <v>3309</v>
      </c>
      <c r="B10" t="str">
        <f>'Raw Data'!B28</f>
        <v xml:space="preserve"> Friarbots</v>
      </c>
      <c r="C10">
        <f>'Raw Data'!C28</f>
        <v>10</v>
      </c>
      <c r="E10" s="57">
        <f>IF(_xlfn.IFNA(MATCH(A10,'Center Switch 2'!A:A, 0),0)&gt;0,1,0)</f>
        <v>1</v>
      </c>
      <c r="F10" s="57">
        <f>_xlfn.IFNA(VLOOKUP(A10,'Center Switch 2'!A:G,2,0),0)</f>
        <v>4</v>
      </c>
      <c r="G10" s="57">
        <f>_xlfn.IFNA(VLOOKUP(A10,'Center Switch 2'!A:G,4,0),0)</f>
        <v>1</v>
      </c>
      <c r="H10" s="57">
        <f>_xlfn.IFNA(VLOOKUP(A10,'Center Switch 2'!A:G,5,0),0)</f>
        <v>0.25</v>
      </c>
      <c r="I10" s="57">
        <f>_xlfn.IFNA(VLOOKUP(A10,'Center Switch 2'!A:G,6,0),0)</f>
        <v>4</v>
      </c>
      <c r="J10" s="57">
        <f>_xlfn.IFNA(VLOOKUP(A10,'Center Switch 2'!A:G,7,0),0)</f>
        <v>1</v>
      </c>
      <c r="K10" s="59">
        <f>AP10</f>
        <v>0.3</v>
      </c>
      <c r="L10" s="59">
        <f>AQ10</f>
        <v>2.2000000000000002</v>
      </c>
      <c r="M10" s="59">
        <f>AS10</f>
        <v>0.1</v>
      </c>
      <c r="N10" s="59">
        <f>2*O10</f>
        <v>8.6</v>
      </c>
      <c r="O10" s="59">
        <f>AO10</f>
        <v>4.3</v>
      </c>
      <c r="R10" s="59">
        <f>AL10</f>
        <v>6.9</v>
      </c>
      <c r="S10" s="61">
        <f>'Raw Data'!CT28</f>
        <v>0</v>
      </c>
      <c r="T10" s="61">
        <f>'Raw Data'!CR28</f>
        <v>3</v>
      </c>
      <c r="U10" s="61">
        <f>'Raw Data'!CW28</f>
        <v>5.556</v>
      </c>
      <c r="V10" s="61">
        <f>'Raw Data'!DA28</f>
        <v>4.133</v>
      </c>
      <c r="W10" s="61">
        <f>BV10</f>
        <v>3.8</v>
      </c>
      <c r="X10" s="39">
        <v>0</v>
      </c>
      <c r="Z10" s="39">
        <v>0</v>
      </c>
      <c r="AD10" s="12">
        <f>'Raw Data'!D28</f>
        <v>2</v>
      </c>
      <c r="AE10" s="13">
        <f>'Raw Data'!E28</f>
        <v>4</v>
      </c>
      <c r="AF10" s="13">
        <f>'Raw Data'!F28</f>
        <v>4</v>
      </c>
      <c r="AG10" s="13">
        <f>'Raw Data'!G28</f>
        <v>10</v>
      </c>
      <c r="AH10" s="13">
        <f>'Raw Data'!O28</f>
        <v>1</v>
      </c>
      <c r="AI10" s="13">
        <f>'Raw Data'!T28</f>
        <v>3</v>
      </c>
      <c r="AJ10" s="13">
        <f>'Raw Data'!Y28</f>
        <v>0</v>
      </c>
      <c r="AK10" s="13">
        <f>'Raw Data'!AD28</f>
        <v>0</v>
      </c>
      <c r="AL10" s="22">
        <f>'Raw Data'!BV28</f>
        <v>6.9</v>
      </c>
      <c r="AM10" s="15">
        <f>'Raw Data'!BG28</f>
        <v>0</v>
      </c>
      <c r="AN10" s="15">
        <f>'Raw Data'!BL28</f>
        <v>4.3</v>
      </c>
      <c r="AO10" s="15">
        <f>AM10+AN10</f>
        <v>4.3</v>
      </c>
      <c r="AP10" s="15">
        <f>'Raw Data'!AW28</f>
        <v>0.3</v>
      </c>
      <c r="AQ10" s="15">
        <f>'Raw Data'!BB28</f>
        <v>2.2000000000000002</v>
      </c>
      <c r="AR10" s="15">
        <f>AP10+AQ10</f>
        <v>2.5</v>
      </c>
      <c r="AS10" s="15">
        <f>'Raw Data'!BQ28</f>
        <v>0.1</v>
      </c>
      <c r="AT10" s="16">
        <f>'Raw Data'!BY28</f>
        <v>0.9</v>
      </c>
      <c r="AU10" s="26">
        <f>'Raw Data'!AI28</f>
        <v>8</v>
      </c>
      <c r="AV10" s="27">
        <f>SUM(AX10:AZ10)</f>
        <v>6.5</v>
      </c>
      <c r="AW10" s="27">
        <f>'Raw Data'!AN28</f>
        <v>1.5</v>
      </c>
      <c r="AX10" s="27">
        <f>'Raw Data'!AS28</f>
        <v>0.5</v>
      </c>
      <c r="AY10" s="27">
        <f>'Raw Data'!AU28</f>
        <v>4.3</v>
      </c>
      <c r="AZ10" s="27">
        <f>'Raw Data'!AL28</f>
        <v>1.7</v>
      </c>
      <c r="BA10" s="17">
        <f>'Raw Data'!CF28</f>
        <v>88.888999999999996</v>
      </c>
      <c r="BB10" s="18">
        <f>'Raw Data'!CJ28</f>
        <v>5</v>
      </c>
      <c r="BC10" s="18">
        <f>'Raw Data'!CM28</f>
        <v>0</v>
      </c>
      <c r="BD10" s="18">
        <f>'Raw Data'!CO28</f>
        <v>0</v>
      </c>
      <c r="BE10" s="19">
        <f>'Raw Data'!CP28</f>
        <v>0</v>
      </c>
      <c r="BF10" s="20">
        <f>'Raw Data'!DO28/$C10</f>
        <v>0.1</v>
      </c>
      <c r="BG10" s="20">
        <f>'Raw Data'!DG28/$C10</f>
        <v>0.3</v>
      </c>
      <c r="BH10" s="20">
        <f>'Raw Data'!DK28/$C10</f>
        <v>2.9</v>
      </c>
      <c r="BI10" s="20">
        <f>'Raw Data'!DS28/$C10</f>
        <v>0.9</v>
      </c>
      <c r="BJ10" s="12">
        <f>'Raw Data'!DP28/$C10</f>
        <v>0</v>
      </c>
      <c r="BK10" s="12">
        <f>'Raw Data'!DH28/$C10</f>
        <v>0.1</v>
      </c>
      <c r="BL10" s="12">
        <f>'Raw Data'!DL28/$C10</f>
        <v>0.5</v>
      </c>
      <c r="BM10" s="12">
        <f>'Raw Data'!DT28/$C10</f>
        <v>0.1</v>
      </c>
      <c r="BN10" s="22">
        <f>'Raw Data'!DQ28/$C10</f>
        <v>1.1000000000000001</v>
      </c>
      <c r="BO10" s="22">
        <f>'Raw Data'!DI28/$C10</f>
        <v>0</v>
      </c>
      <c r="BP10" s="22">
        <f>'Raw Data'!DM28/$C10</f>
        <v>0.5</v>
      </c>
      <c r="BQ10" s="22">
        <f>'Raw Data'!DU28/$C10</f>
        <v>0.6</v>
      </c>
      <c r="BR10" s="17">
        <f>'Raw Data'!DR28/$C10</f>
        <v>0</v>
      </c>
      <c r="BS10" s="17">
        <f>'Raw Data'!DJ28/$C10</f>
        <v>0</v>
      </c>
      <c r="BT10" s="17">
        <f>'Raw Data'!DN28/$C10</f>
        <v>0</v>
      </c>
      <c r="BU10" s="17">
        <f>'Raw Data'!DV28/$C10</f>
        <v>0.1</v>
      </c>
      <c r="BV10" s="12">
        <f>'Raw Data'!EM28</f>
        <v>3.8</v>
      </c>
      <c r="BW10" s="13">
        <f>'Raw Data'!EN28</f>
        <v>0</v>
      </c>
      <c r="BX10" s="13">
        <f>'Raw Data'!CC28</f>
        <v>2</v>
      </c>
      <c r="BY10" s="13">
        <f>SUM(AR10:AS10)</f>
        <v>2.6</v>
      </c>
    </row>
    <row r="11" spans="1:78" x14ac:dyDescent="0.25">
      <c r="A11">
        <f>'Raw Data'!A9</f>
        <v>971</v>
      </c>
      <c r="B11" t="str">
        <f>'Raw Data'!B9</f>
        <v xml:space="preserve"> Spartan Robotics</v>
      </c>
      <c r="C11">
        <f>'Raw Data'!C9</f>
        <v>10</v>
      </c>
      <c r="E11" s="57">
        <f>IF(_xlfn.IFNA(MATCH(A11,'Center Switch 2'!A:A, 0),0)&gt;0,1,0)</f>
        <v>0</v>
      </c>
      <c r="F11" s="57">
        <f>_xlfn.IFNA(VLOOKUP(A11,'Center Switch 2'!A:G,2,0),0)</f>
        <v>0</v>
      </c>
      <c r="G11" s="57">
        <f>_xlfn.IFNA(VLOOKUP(A11,'Center Switch 2'!A:G,4,0),0)</f>
        <v>0</v>
      </c>
      <c r="H11" s="57">
        <f>_xlfn.IFNA(VLOOKUP(A11,'Center Switch 2'!A:G,5,0),0)</f>
        <v>0</v>
      </c>
      <c r="I11" s="57">
        <f>_xlfn.IFNA(VLOOKUP(A11,'Center Switch 2'!A:G,6,0),0)</f>
        <v>0</v>
      </c>
      <c r="J11" s="57">
        <f>_xlfn.IFNA(VLOOKUP(A11,'Center Switch 2'!A:G,7,0),0)</f>
        <v>0</v>
      </c>
      <c r="K11" s="59">
        <f>AP11</f>
        <v>1.4</v>
      </c>
      <c r="L11" s="59">
        <f>AQ11</f>
        <v>0.1</v>
      </c>
      <c r="M11" s="59">
        <f>AS11</f>
        <v>0.3</v>
      </c>
      <c r="N11" s="59">
        <f>2*O11</f>
        <v>8.6</v>
      </c>
      <c r="O11" s="59">
        <f>AO11</f>
        <v>4.3</v>
      </c>
      <c r="R11" s="59">
        <f>AL11</f>
        <v>6.1</v>
      </c>
      <c r="S11" s="61">
        <f>'Raw Data'!CT9</f>
        <v>9</v>
      </c>
      <c r="T11" s="61">
        <f>'Raw Data'!CR9</f>
        <v>5.8890000000000002</v>
      </c>
      <c r="U11" s="61">
        <f>'Raw Data'!CW9</f>
        <v>0</v>
      </c>
      <c r="V11" s="61">
        <f>'Raw Data'!DA9</f>
        <v>8.3330000000000002</v>
      </c>
      <c r="W11" s="61">
        <f>BV11</f>
        <v>3.7</v>
      </c>
      <c r="Z11" s="39">
        <v>0</v>
      </c>
      <c r="AD11" s="12">
        <f>'Raw Data'!D9</f>
        <v>9</v>
      </c>
      <c r="AE11" s="13">
        <f>'Raw Data'!E9</f>
        <v>1</v>
      </c>
      <c r="AF11" s="13">
        <f>'Raw Data'!F9</f>
        <v>0</v>
      </c>
      <c r="AG11" s="13">
        <f>'Raw Data'!G9</f>
        <v>10</v>
      </c>
      <c r="AH11" s="13">
        <f>'Raw Data'!O9</f>
        <v>4</v>
      </c>
      <c r="AI11" s="13">
        <f>'Raw Data'!T9</f>
        <v>9</v>
      </c>
      <c r="AJ11" s="13">
        <f>'Raw Data'!Y9</f>
        <v>0</v>
      </c>
      <c r="AK11" s="13">
        <f>'Raw Data'!AD9</f>
        <v>0</v>
      </c>
      <c r="AL11" s="22">
        <f>'Raw Data'!BV9</f>
        <v>6.1</v>
      </c>
      <c r="AM11" s="15">
        <f>'Raw Data'!BG9</f>
        <v>0.6</v>
      </c>
      <c r="AN11" s="15">
        <f>'Raw Data'!BL9</f>
        <v>3.7</v>
      </c>
      <c r="AO11" s="15">
        <f>AM11+AN11</f>
        <v>4.3</v>
      </c>
      <c r="AP11" s="15">
        <f>'Raw Data'!AW9</f>
        <v>1.4</v>
      </c>
      <c r="AQ11" s="15">
        <f>'Raw Data'!BB9</f>
        <v>0.1</v>
      </c>
      <c r="AR11" s="15">
        <f>AP11+AQ11</f>
        <v>1.5</v>
      </c>
      <c r="AS11" s="15">
        <f>'Raw Data'!BQ9</f>
        <v>0.3</v>
      </c>
      <c r="AT11" s="16">
        <f>'Raw Data'!BY9</f>
        <v>0.2</v>
      </c>
      <c r="AU11" s="26">
        <f>'Raw Data'!AI9</f>
        <v>6.7</v>
      </c>
      <c r="AV11" s="27">
        <f>SUM(AX11:AZ11)</f>
        <v>6.3</v>
      </c>
      <c r="AW11" s="27">
        <f>'Raw Data'!AN9</f>
        <v>0.4</v>
      </c>
      <c r="AX11" s="27">
        <f>'Raw Data'!AS9</f>
        <v>1.4</v>
      </c>
      <c r="AY11" s="27">
        <f>'Raw Data'!AU9</f>
        <v>3.4</v>
      </c>
      <c r="AZ11" s="27">
        <f>'Raw Data'!AL9</f>
        <v>1.5</v>
      </c>
      <c r="BA11" s="17">
        <f>'Raw Data'!CF9</f>
        <v>80</v>
      </c>
      <c r="BB11" s="18">
        <f>'Raw Data'!CJ9</f>
        <v>3</v>
      </c>
      <c r="BC11" s="18">
        <f>'Raw Data'!CM9</f>
        <v>0</v>
      </c>
      <c r="BD11" s="18">
        <f>'Raw Data'!CO9</f>
        <v>0</v>
      </c>
      <c r="BE11" s="19">
        <f>'Raw Data'!CP9</f>
        <v>0</v>
      </c>
      <c r="BF11" s="20">
        <f>'Raw Data'!DO9/$C11</f>
        <v>0.3</v>
      </c>
      <c r="BG11" s="20">
        <f>'Raw Data'!DG9/$C11</f>
        <v>0.4</v>
      </c>
      <c r="BH11" s="20">
        <f>'Raw Data'!DK9/$C11</f>
        <v>2.9</v>
      </c>
      <c r="BI11" s="20">
        <f>'Raw Data'!DS9/$C11</f>
        <v>0.8</v>
      </c>
      <c r="BJ11" s="12">
        <f>'Raw Data'!DP9/$C11</f>
        <v>0</v>
      </c>
      <c r="BK11" s="12">
        <f>'Raw Data'!DH9/$C11</f>
        <v>0.6</v>
      </c>
      <c r="BL11" s="12">
        <f>'Raw Data'!DL9/$C11</f>
        <v>0.7</v>
      </c>
      <c r="BM11" s="12">
        <f>'Raw Data'!DT9/$C11</f>
        <v>0.2</v>
      </c>
      <c r="BN11" s="22">
        <f>'Raw Data'!DQ9/$C11</f>
        <v>0.3</v>
      </c>
      <c r="BO11" s="22">
        <f>'Raw Data'!DI9/$C11</f>
        <v>0</v>
      </c>
      <c r="BP11" s="22">
        <f>'Raw Data'!DM9/$C11</f>
        <v>0</v>
      </c>
      <c r="BQ11" s="22">
        <f>'Raw Data'!DU9/$C11</f>
        <v>0.1</v>
      </c>
      <c r="BR11" s="17">
        <f>'Raw Data'!DR9/$C11</f>
        <v>0</v>
      </c>
      <c r="BS11" s="17">
        <f>'Raw Data'!DJ9/$C11</f>
        <v>0.1</v>
      </c>
      <c r="BT11" s="17">
        <f>'Raw Data'!DN9/$C11</f>
        <v>0</v>
      </c>
      <c r="BU11" s="17">
        <f>'Raw Data'!DV9/$C11</f>
        <v>0.1</v>
      </c>
      <c r="BV11" s="12">
        <f>'Raw Data'!EM9</f>
        <v>3.7</v>
      </c>
      <c r="BW11" s="13">
        <f>'Raw Data'!EN9</f>
        <v>2</v>
      </c>
      <c r="BX11" s="13">
        <f>'Raw Data'!CC9</f>
        <v>22</v>
      </c>
      <c r="BY11" s="13">
        <f>SUM(AR11:AS11)</f>
        <v>1.8</v>
      </c>
    </row>
    <row r="12" spans="1:78" x14ac:dyDescent="0.25">
      <c r="A12">
        <f>'Raw Data'!A35</f>
        <v>3853</v>
      </c>
      <c r="B12" t="str">
        <f>'Raw Data'!B35</f>
        <v xml:space="preserve"> Pridetronics</v>
      </c>
      <c r="C12">
        <f>'Raw Data'!C35</f>
        <v>9</v>
      </c>
      <c r="E12" s="57">
        <f>IF(_xlfn.IFNA(MATCH(A12,'Center Switch 2'!A:A, 0),0)&gt;0,1,0)</f>
        <v>0</v>
      </c>
      <c r="F12" s="57">
        <f>_xlfn.IFNA(VLOOKUP(A12,'Center Switch 2'!A:G,2,0),0)</f>
        <v>0</v>
      </c>
      <c r="G12" s="57">
        <f>_xlfn.IFNA(VLOOKUP(A12,'Center Switch 2'!A:G,4,0),0)</f>
        <v>0</v>
      </c>
      <c r="H12" s="57">
        <f>_xlfn.IFNA(VLOOKUP(A12,'Center Switch 2'!A:G,5,0),0)</f>
        <v>0</v>
      </c>
      <c r="I12" s="57">
        <f>_xlfn.IFNA(VLOOKUP(A12,'Center Switch 2'!A:G,6,0),0)</f>
        <v>0</v>
      </c>
      <c r="J12" s="57">
        <f>_xlfn.IFNA(VLOOKUP(A12,'Center Switch 2'!A:G,7,0),0)</f>
        <v>0</v>
      </c>
      <c r="K12" s="59">
        <f>AP12</f>
        <v>1.778</v>
      </c>
      <c r="L12" s="59">
        <f>AQ12</f>
        <v>0.111</v>
      </c>
      <c r="M12" s="59">
        <f>AS12</f>
        <v>1.333</v>
      </c>
      <c r="N12" s="59">
        <f>2*O12</f>
        <v>3.778</v>
      </c>
      <c r="O12" s="59">
        <f>AO12</f>
        <v>1.889</v>
      </c>
      <c r="R12" s="59">
        <f>AL12</f>
        <v>5.1109999999999998</v>
      </c>
      <c r="S12" s="61">
        <f>'Raw Data'!CT35</f>
        <v>6.867</v>
      </c>
      <c r="T12" s="61">
        <f>'Raw Data'!CR35</f>
        <v>4.1669999999999998</v>
      </c>
      <c r="U12" s="61">
        <f>'Raw Data'!CW35</f>
        <v>16</v>
      </c>
      <c r="V12" s="61">
        <f>'Raw Data'!DA35</f>
        <v>0</v>
      </c>
      <c r="W12" s="61">
        <f>BV12</f>
        <v>2.8889999999999998</v>
      </c>
      <c r="Z12" s="39">
        <v>0</v>
      </c>
      <c r="AD12" s="12">
        <f>'Raw Data'!D35</f>
        <v>5</v>
      </c>
      <c r="AE12" s="13">
        <f>'Raw Data'!E35</f>
        <v>2</v>
      </c>
      <c r="AF12" s="13">
        <f>'Raw Data'!F35</f>
        <v>2</v>
      </c>
      <c r="AG12" s="13">
        <f>'Raw Data'!G35</f>
        <v>8</v>
      </c>
      <c r="AH12" s="13">
        <f>'Raw Data'!O35</f>
        <v>2</v>
      </c>
      <c r="AI12" s="13">
        <f>'Raw Data'!T35</f>
        <v>0</v>
      </c>
      <c r="AJ12" s="13">
        <f>'Raw Data'!Y35</f>
        <v>0</v>
      </c>
      <c r="AK12" s="13">
        <f>'Raw Data'!AD35</f>
        <v>0</v>
      </c>
      <c r="AL12" s="22">
        <f>'Raw Data'!BV35</f>
        <v>5.1109999999999998</v>
      </c>
      <c r="AM12" s="15">
        <f>'Raw Data'!BG35</f>
        <v>0.55600000000000005</v>
      </c>
      <c r="AN12" s="15">
        <f>'Raw Data'!BL35</f>
        <v>1.333</v>
      </c>
      <c r="AO12" s="15">
        <f>AM12+AN12</f>
        <v>1.889</v>
      </c>
      <c r="AP12" s="15">
        <f>'Raw Data'!AW35</f>
        <v>1.778</v>
      </c>
      <c r="AQ12" s="15">
        <f>'Raw Data'!BB35</f>
        <v>0.111</v>
      </c>
      <c r="AR12" s="15">
        <f>AP12+AQ12</f>
        <v>1.889</v>
      </c>
      <c r="AS12" s="15">
        <f>'Raw Data'!BQ35</f>
        <v>1.333</v>
      </c>
      <c r="AT12" s="16">
        <f>'Raw Data'!BY35</f>
        <v>0</v>
      </c>
      <c r="AU12" s="26">
        <f>'Raw Data'!AI35</f>
        <v>5.2220000000000004</v>
      </c>
      <c r="AV12" s="27">
        <f>SUM(AX12:AZ12)</f>
        <v>5.2220000000000004</v>
      </c>
      <c r="AW12" s="27">
        <f>'Raw Data'!AN35</f>
        <v>0</v>
      </c>
      <c r="AX12" s="27">
        <f>'Raw Data'!AS35</f>
        <v>2.1110000000000002</v>
      </c>
      <c r="AY12" s="27">
        <f>'Raw Data'!AU35</f>
        <v>1.778</v>
      </c>
      <c r="AZ12" s="27">
        <f>'Raw Data'!AL35</f>
        <v>1.333</v>
      </c>
      <c r="BA12" s="17">
        <f>'Raw Data'!CF35</f>
        <v>100</v>
      </c>
      <c r="BB12" s="18">
        <f>'Raw Data'!CJ35</f>
        <v>0</v>
      </c>
      <c r="BC12" s="18">
        <f>'Raw Data'!CM35</f>
        <v>0</v>
      </c>
      <c r="BD12" s="18">
        <f>'Raw Data'!CO35</f>
        <v>0</v>
      </c>
      <c r="BE12" s="19">
        <f>'Raw Data'!CP35</f>
        <v>0</v>
      </c>
      <c r="BF12" s="20">
        <f>'Raw Data'!DO35/$C12</f>
        <v>0</v>
      </c>
      <c r="BG12" s="20">
        <f>'Raw Data'!DG35/$C12</f>
        <v>0.1111111111111111</v>
      </c>
      <c r="BH12" s="20">
        <f>'Raw Data'!DK35/$C12</f>
        <v>1.4444444444444444</v>
      </c>
      <c r="BI12" s="20">
        <f>'Raw Data'!DS35/$C12</f>
        <v>0</v>
      </c>
      <c r="BJ12" s="12">
        <f>'Raw Data'!DP35/$C12</f>
        <v>0</v>
      </c>
      <c r="BK12" s="12">
        <f>'Raw Data'!DH35/$C12</f>
        <v>0.77777777777777779</v>
      </c>
      <c r="BL12" s="12">
        <f>'Raw Data'!DL35/$C12</f>
        <v>0.55555555555555558</v>
      </c>
      <c r="BM12" s="12">
        <f>'Raw Data'!DT35/$C12</f>
        <v>0.66666666666666663</v>
      </c>
      <c r="BN12" s="22">
        <f>'Raw Data'!DQ35/$C12</f>
        <v>0</v>
      </c>
      <c r="BO12" s="22">
        <f>'Raw Data'!DI35/$C12</f>
        <v>0</v>
      </c>
      <c r="BP12" s="22">
        <f>'Raw Data'!DM35/$C12</f>
        <v>0.1111111111111111</v>
      </c>
      <c r="BQ12" s="22">
        <f>'Raw Data'!DU35/$C12</f>
        <v>0</v>
      </c>
      <c r="BR12" s="17">
        <f>'Raw Data'!DR35/$C12</f>
        <v>0</v>
      </c>
      <c r="BS12" s="17">
        <f>'Raw Data'!DJ35/$C12</f>
        <v>1</v>
      </c>
      <c r="BT12" s="17">
        <f>'Raw Data'!DN35/$C12</f>
        <v>0.1111111111111111</v>
      </c>
      <c r="BU12" s="17">
        <f>'Raw Data'!DV35/$C12</f>
        <v>0.1111111111111111</v>
      </c>
      <c r="BV12" s="12">
        <f>'Raw Data'!EM35</f>
        <v>2.8889999999999998</v>
      </c>
      <c r="BW12" s="13">
        <f>'Raw Data'!EN35</f>
        <v>3</v>
      </c>
      <c r="BX12" s="13">
        <f>'Raw Data'!CC35</f>
        <v>22</v>
      </c>
      <c r="BY12" s="13">
        <f>SUM(AR12:AS12)</f>
        <v>3.222</v>
      </c>
    </row>
    <row r="13" spans="1:78" x14ac:dyDescent="0.25">
      <c r="A13">
        <f>'Raw Data'!A8</f>
        <v>968</v>
      </c>
      <c r="B13" t="str">
        <f>'Raw Data'!B8</f>
        <v xml:space="preserve"> RAWC (Robotics Alliance Of West Covina)</v>
      </c>
      <c r="C13">
        <f>'Raw Data'!C8</f>
        <v>10</v>
      </c>
      <c r="E13" s="57">
        <f>IF(_xlfn.IFNA(MATCH(A13,'Center Switch 2'!A:A, 0),0)&gt;0,1,0)</f>
        <v>1</v>
      </c>
      <c r="F13" s="57">
        <f>_xlfn.IFNA(VLOOKUP(A13,'Center Switch 2'!A:G,2,0),0)</f>
        <v>6</v>
      </c>
      <c r="G13" s="57">
        <f>_xlfn.IFNA(VLOOKUP(A13,'Center Switch 2'!A:G,4,0),0)</f>
        <v>3</v>
      </c>
      <c r="H13" s="57">
        <f>_xlfn.IFNA(VLOOKUP(A13,'Center Switch 2'!A:G,5,0),0)</f>
        <v>0.75</v>
      </c>
      <c r="I13" s="57">
        <f>_xlfn.IFNA(VLOOKUP(A13,'Center Switch 2'!A:G,6,0),0)</f>
        <v>1</v>
      </c>
      <c r="J13" s="57">
        <f>_xlfn.IFNA(VLOOKUP(A13,'Center Switch 2'!A:G,7,0),0)</f>
        <v>0.25</v>
      </c>
      <c r="K13" s="59">
        <f>AP13</f>
        <v>0.7</v>
      </c>
      <c r="L13" s="59">
        <f>AQ13</f>
        <v>0.2</v>
      </c>
      <c r="M13" s="59">
        <f>AS13</f>
        <v>1.2</v>
      </c>
      <c r="N13" s="59">
        <f>2*O13</f>
        <v>9.3999999999999986</v>
      </c>
      <c r="O13" s="59">
        <f>AO13</f>
        <v>4.6999999999999993</v>
      </c>
      <c r="P13" s="59">
        <f>AV13</f>
        <v>6.6000000000000005</v>
      </c>
      <c r="Q13" s="59">
        <f>AU13</f>
        <v>7.3</v>
      </c>
      <c r="R13" s="59">
        <f>AL13</f>
        <v>6.8</v>
      </c>
      <c r="S13" s="61">
        <f>'Raw Data'!CT8</f>
        <v>3.75</v>
      </c>
      <c r="T13" s="61">
        <f>'Raw Data'!CR8</f>
        <v>4.5999999999999996</v>
      </c>
      <c r="U13" s="61">
        <f>'Raw Data'!CW8</f>
        <v>6.25</v>
      </c>
      <c r="V13" s="61">
        <f>'Raw Data'!DA8</f>
        <v>0</v>
      </c>
      <c r="W13" s="61">
        <f>BV13</f>
        <v>3.8</v>
      </c>
      <c r="X13" s="39">
        <v>1</v>
      </c>
      <c r="Y13" s="39">
        <v>1.6</v>
      </c>
      <c r="Z13" s="39">
        <v>1</v>
      </c>
      <c r="AA13" s="39" t="s">
        <v>316</v>
      </c>
      <c r="AD13" s="12">
        <f>'Raw Data'!D8</f>
        <v>1</v>
      </c>
      <c r="AE13" s="13">
        <f>'Raw Data'!E8</f>
        <v>6</v>
      </c>
      <c r="AF13" s="13">
        <f>'Raw Data'!F8</f>
        <v>3</v>
      </c>
      <c r="AG13" s="13">
        <f>'Raw Data'!G8</f>
        <v>9</v>
      </c>
      <c r="AH13" s="13">
        <f>'Raw Data'!O8</f>
        <v>3</v>
      </c>
      <c r="AI13" s="13">
        <f>'Raw Data'!T8</f>
        <v>0</v>
      </c>
      <c r="AJ13" s="13">
        <f>'Raw Data'!Y8</f>
        <v>0</v>
      </c>
      <c r="AK13" s="13">
        <f>'Raw Data'!AD8</f>
        <v>0</v>
      </c>
      <c r="AL13" s="22">
        <f>'Raw Data'!BV8</f>
        <v>6.8</v>
      </c>
      <c r="AM13" s="15">
        <f>'Raw Data'!BG8</f>
        <v>1.9</v>
      </c>
      <c r="AN13" s="15">
        <f>'Raw Data'!BL8</f>
        <v>2.8</v>
      </c>
      <c r="AO13" s="15">
        <f>AM13+AN13</f>
        <v>4.6999999999999993</v>
      </c>
      <c r="AP13" s="15">
        <f>'Raw Data'!AW8</f>
        <v>0.7</v>
      </c>
      <c r="AQ13" s="15">
        <f>'Raw Data'!BB8</f>
        <v>0.2</v>
      </c>
      <c r="AR13" s="15">
        <f>AP13+AQ13</f>
        <v>0.89999999999999991</v>
      </c>
      <c r="AS13" s="15">
        <f>'Raw Data'!BQ8</f>
        <v>1.2</v>
      </c>
      <c r="AT13" s="16">
        <f>'Raw Data'!BY8</f>
        <v>0</v>
      </c>
      <c r="AU13" s="26">
        <f>'Raw Data'!AI8</f>
        <v>7.3</v>
      </c>
      <c r="AV13" s="27">
        <f>SUM(AX13:AZ13)</f>
        <v>6.6000000000000005</v>
      </c>
      <c r="AW13" s="27">
        <f>'Raw Data'!AN8</f>
        <v>0.7</v>
      </c>
      <c r="AX13" s="27">
        <f>'Raw Data'!AS8</f>
        <v>1.8</v>
      </c>
      <c r="AY13" s="27">
        <f>'Raw Data'!AU8</f>
        <v>3.1</v>
      </c>
      <c r="AZ13" s="27">
        <f>'Raw Data'!AL8</f>
        <v>1.7</v>
      </c>
      <c r="BA13" s="17">
        <f>'Raw Data'!CF8</f>
        <v>0</v>
      </c>
      <c r="BB13" s="18">
        <f>'Raw Data'!CJ8</f>
        <v>0</v>
      </c>
      <c r="BC13" s="18">
        <f>'Raw Data'!CM8</f>
        <v>0</v>
      </c>
      <c r="BD13" s="18">
        <f>'Raw Data'!CO8</f>
        <v>0</v>
      </c>
      <c r="BE13" s="19">
        <f>'Raw Data'!CP8</f>
        <v>2</v>
      </c>
      <c r="BF13" s="20">
        <f>'Raw Data'!DO8/$C13</f>
        <v>0.4</v>
      </c>
      <c r="BG13" s="20">
        <f>'Raw Data'!DG8/$C13</f>
        <v>0.2</v>
      </c>
      <c r="BH13" s="20">
        <f>'Raw Data'!DK8/$C13</f>
        <v>2.6</v>
      </c>
      <c r="BI13" s="20">
        <f>'Raw Data'!DS8/$C13</f>
        <v>1.1000000000000001</v>
      </c>
      <c r="BJ13" s="12">
        <f>'Raw Data'!DP8/$C13</f>
        <v>0</v>
      </c>
      <c r="BK13" s="12">
        <f>'Raw Data'!DH8/$C13</f>
        <v>0.5</v>
      </c>
      <c r="BL13" s="12">
        <f>'Raw Data'!DL8/$C13</f>
        <v>0.2</v>
      </c>
      <c r="BM13" s="12">
        <f>'Raw Data'!DT8/$C13</f>
        <v>0</v>
      </c>
      <c r="BN13" s="22">
        <f>'Raw Data'!DQ8/$C13</f>
        <v>0</v>
      </c>
      <c r="BO13" s="22">
        <f>'Raw Data'!DI8/$C13</f>
        <v>0</v>
      </c>
      <c r="BP13" s="22">
        <f>'Raw Data'!DM8/$C13</f>
        <v>0.4</v>
      </c>
      <c r="BQ13" s="22">
        <f>'Raw Data'!DU8/$C13</f>
        <v>0</v>
      </c>
      <c r="BR13" s="17">
        <f>'Raw Data'!DR8/$C13</f>
        <v>0</v>
      </c>
      <c r="BS13" s="17">
        <f>'Raw Data'!DJ8/$C13</f>
        <v>0.3</v>
      </c>
      <c r="BT13" s="17">
        <f>'Raw Data'!DN8/$C13</f>
        <v>0</v>
      </c>
      <c r="BU13" s="17">
        <f>'Raw Data'!DV8/$C13</f>
        <v>0.9</v>
      </c>
      <c r="BV13" s="12">
        <f>'Raw Data'!EM8</f>
        <v>3.8</v>
      </c>
      <c r="BW13" s="13">
        <f>'Raw Data'!EN8</f>
        <v>0</v>
      </c>
      <c r="BX13" s="13">
        <f>'Raw Data'!CC8</f>
        <v>22</v>
      </c>
      <c r="BY13" s="13">
        <f>SUM(AR13:AS13)</f>
        <v>2.0999999999999996</v>
      </c>
    </row>
    <row r="14" spans="1:78" x14ac:dyDescent="0.25">
      <c r="A14">
        <f>'Raw Data'!A10</f>
        <v>1011</v>
      </c>
      <c r="B14" t="str">
        <f>'Raw Data'!B10</f>
        <v xml:space="preserve"> CRUSH</v>
      </c>
      <c r="C14">
        <f>'Raw Data'!C10</f>
        <v>10</v>
      </c>
      <c r="E14" s="57">
        <f>IF(_xlfn.IFNA(MATCH(A14,'Center Switch 2'!A:A, 0),0)&gt;0,1,0)</f>
        <v>1</v>
      </c>
      <c r="F14" s="57">
        <f>_xlfn.IFNA(VLOOKUP(A14,'Center Switch 2'!A:G,2,0),0)</f>
        <v>10</v>
      </c>
      <c r="G14" s="57">
        <f>_xlfn.IFNA(VLOOKUP(A14,'Center Switch 2'!A:G,4,0),0)</f>
        <v>14</v>
      </c>
      <c r="H14" s="57">
        <f>_xlfn.IFNA(VLOOKUP(A14,'Center Switch 2'!A:G,5,0),0)</f>
        <v>1.5555555555555556</v>
      </c>
      <c r="I14" s="57">
        <f>_xlfn.IFNA(VLOOKUP(A14,'Center Switch 2'!A:G,6,0),0)</f>
        <v>1</v>
      </c>
      <c r="J14" s="57">
        <f>_xlfn.IFNA(VLOOKUP(A14,'Center Switch 2'!A:G,7,0),0)</f>
        <v>0.1111111111111111</v>
      </c>
      <c r="K14" s="59">
        <f>AP14</f>
        <v>1.1000000000000001</v>
      </c>
      <c r="L14" s="59">
        <f>AQ14</f>
        <v>3</v>
      </c>
      <c r="M14" s="59">
        <f>AS14</f>
        <v>4.8</v>
      </c>
      <c r="N14" s="59">
        <f>2*O14</f>
        <v>0</v>
      </c>
      <c r="O14" s="59">
        <f>AO14</f>
        <v>0</v>
      </c>
      <c r="P14" s="59">
        <f>AV14</f>
        <v>7.6999999999999993</v>
      </c>
      <c r="Q14" s="59">
        <f>AU14</f>
        <v>9.9</v>
      </c>
      <c r="R14" s="59">
        <f>AL14</f>
        <v>8.9</v>
      </c>
      <c r="S14" s="61">
        <f>'Raw Data'!CT10</f>
        <v>3.2290000000000001</v>
      </c>
      <c r="T14" s="61">
        <f>'Raw Data'!CR10</f>
        <v>2</v>
      </c>
      <c r="U14" s="61">
        <f>'Raw Data'!CW10</f>
        <v>4.5</v>
      </c>
      <c r="V14" s="61">
        <f>'Raw Data'!DA10</f>
        <v>5.4669999999999996</v>
      </c>
      <c r="W14" s="61">
        <f>BV14</f>
        <v>3.6</v>
      </c>
      <c r="X14" s="39">
        <v>1</v>
      </c>
      <c r="Y14" s="39">
        <v>1</v>
      </c>
      <c r="Z14" s="39">
        <v>2</v>
      </c>
      <c r="AA14" s="39" t="s">
        <v>317</v>
      </c>
      <c r="AD14" s="12">
        <f>'Raw Data'!D10</f>
        <v>0</v>
      </c>
      <c r="AE14" s="13">
        <f>'Raw Data'!E10</f>
        <v>10</v>
      </c>
      <c r="AF14" s="13">
        <f>'Raw Data'!F10</f>
        <v>0</v>
      </c>
      <c r="AG14" s="13">
        <f>'Raw Data'!G10</f>
        <v>9</v>
      </c>
      <c r="AH14" s="13">
        <f>'Raw Data'!O10</f>
        <v>14</v>
      </c>
      <c r="AI14" s="13">
        <f>'Raw Data'!T10</f>
        <v>0</v>
      </c>
      <c r="AJ14" s="13">
        <f>'Raw Data'!Y10</f>
        <v>0</v>
      </c>
      <c r="AK14" s="13">
        <f>'Raw Data'!AD10</f>
        <v>0</v>
      </c>
      <c r="AL14" s="22">
        <f>'Raw Data'!BV10</f>
        <v>8.9</v>
      </c>
      <c r="AM14" s="15">
        <f>'Raw Data'!BG10</f>
        <v>0</v>
      </c>
      <c r="AN14" s="15">
        <f>'Raw Data'!BL10</f>
        <v>0</v>
      </c>
      <c r="AO14" s="15">
        <f>AM14+AN14</f>
        <v>0</v>
      </c>
      <c r="AP14" s="15">
        <f>'Raw Data'!AW10</f>
        <v>1.1000000000000001</v>
      </c>
      <c r="AQ14" s="15">
        <f>'Raw Data'!BB10</f>
        <v>3</v>
      </c>
      <c r="AR14" s="15">
        <f>AP14+AQ14</f>
        <v>4.0999999999999996</v>
      </c>
      <c r="AS14" s="15">
        <f>'Raw Data'!BQ10</f>
        <v>4.8</v>
      </c>
      <c r="AT14" s="16">
        <f>'Raw Data'!BY10</f>
        <v>0.2</v>
      </c>
      <c r="AU14" s="26">
        <f>'Raw Data'!AI10</f>
        <v>9.9</v>
      </c>
      <c r="AV14" s="27">
        <f>SUM(AX14:AZ14)</f>
        <v>7.6999999999999993</v>
      </c>
      <c r="AW14" s="27">
        <f>'Raw Data'!AN10</f>
        <v>2.2000000000000002</v>
      </c>
      <c r="AX14" s="27">
        <f>'Raw Data'!AS10</f>
        <v>4.5999999999999996</v>
      </c>
      <c r="AY14" s="27">
        <f>'Raw Data'!AU10</f>
        <v>1</v>
      </c>
      <c r="AZ14" s="27">
        <f>'Raw Data'!AL10</f>
        <v>2.1</v>
      </c>
      <c r="BA14" s="17">
        <f>'Raw Data'!CF10</f>
        <v>0</v>
      </c>
      <c r="BB14" s="18">
        <f>'Raw Data'!CJ10</f>
        <v>0</v>
      </c>
      <c r="BC14" s="18">
        <f>'Raw Data'!CM10</f>
        <v>0</v>
      </c>
      <c r="BD14" s="18">
        <f>'Raw Data'!CO10</f>
        <v>0</v>
      </c>
      <c r="BE14" s="19">
        <f>'Raw Data'!CP10</f>
        <v>1</v>
      </c>
      <c r="BF14" s="20">
        <f>'Raw Data'!DO10/$C14</f>
        <v>0</v>
      </c>
      <c r="BG14" s="20">
        <f>'Raw Data'!DG10/$C14</f>
        <v>0</v>
      </c>
      <c r="BH14" s="20">
        <f>'Raw Data'!DK10/$C14</f>
        <v>0</v>
      </c>
      <c r="BI14" s="20">
        <f>'Raw Data'!DS10/$C14</f>
        <v>0</v>
      </c>
      <c r="BJ14" s="12">
        <f>'Raw Data'!DP10/$C14</f>
        <v>0.2</v>
      </c>
      <c r="BK14" s="12">
        <f>'Raw Data'!DH10/$C14</f>
        <v>0.1</v>
      </c>
      <c r="BL14" s="12">
        <f>'Raw Data'!DL10/$C14</f>
        <v>0</v>
      </c>
      <c r="BM14" s="12">
        <f>'Raw Data'!DT10/$C14</f>
        <v>0</v>
      </c>
      <c r="BN14" s="22">
        <f>'Raw Data'!DQ10/$C14</f>
        <v>1.5</v>
      </c>
      <c r="BO14" s="22">
        <f>'Raw Data'!DI10/$C14</f>
        <v>0.1</v>
      </c>
      <c r="BP14" s="22">
        <f>'Raw Data'!DM10/$C14</f>
        <v>1.2</v>
      </c>
      <c r="BQ14" s="22">
        <f>'Raw Data'!DU10/$C14</f>
        <v>1.4</v>
      </c>
      <c r="BR14" s="17">
        <f>'Raw Data'!DR10/$C14</f>
        <v>0.1</v>
      </c>
      <c r="BS14" s="17">
        <f>'Raw Data'!DJ10/$C14</f>
        <v>4.7</v>
      </c>
      <c r="BT14" s="17">
        <f>'Raw Data'!DN10/$C14</f>
        <v>0.1</v>
      </c>
      <c r="BU14" s="17">
        <f>'Raw Data'!DV10/$C14</f>
        <v>0.3</v>
      </c>
      <c r="BV14" s="12">
        <f>'Raw Data'!EM10</f>
        <v>3.6</v>
      </c>
      <c r="BW14" s="13">
        <f>'Raw Data'!EN10</f>
        <v>3.25</v>
      </c>
      <c r="BX14" s="13">
        <f>'Raw Data'!CC10</f>
        <v>0</v>
      </c>
      <c r="BY14" s="13">
        <f>SUM(AR14:AS14)</f>
        <v>8.8999999999999986</v>
      </c>
    </row>
    <row r="15" spans="1:78" x14ac:dyDescent="0.25">
      <c r="A15">
        <f>'Raw Data'!A5</f>
        <v>687</v>
      </c>
      <c r="B15" t="str">
        <f>'Raw Data'!B5</f>
        <v xml:space="preserve"> The Nerd Herd</v>
      </c>
      <c r="C15">
        <f>'Raw Data'!C5</f>
        <v>9</v>
      </c>
      <c r="E15" s="57">
        <f>IF(_xlfn.IFNA(MATCH(A15,'Center Switch 2'!A:A, 0),0)&gt;0,1,0)</f>
        <v>1</v>
      </c>
      <c r="F15" s="57">
        <f>_xlfn.IFNA(VLOOKUP(A15,'Center Switch 2'!A:G,2,0),0)</f>
        <v>5</v>
      </c>
      <c r="G15" s="57">
        <f>_xlfn.IFNA(VLOOKUP(A15,'Center Switch 2'!A:G,4,0),0)</f>
        <v>9</v>
      </c>
      <c r="H15" s="57">
        <f>_xlfn.IFNA(VLOOKUP(A15,'Center Switch 2'!A:G,5,0),0)</f>
        <v>1.8</v>
      </c>
      <c r="I15" s="57">
        <f>_xlfn.IFNA(VLOOKUP(A15,'Center Switch 2'!A:G,6,0),0)</f>
        <v>0</v>
      </c>
      <c r="J15" s="57">
        <f>_xlfn.IFNA(VLOOKUP(A15,'Center Switch 2'!A:G,7,0),0)</f>
        <v>0</v>
      </c>
      <c r="K15" s="59">
        <f>AP15</f>
        <v>0.33300000000000002</v>
      </c>
      <c r="L15" s="59">
        <f>AQ15</f>
        <v>1.333</v>
      </c>
      <c r="M15" s="59">
        <f>AS15</f>
        <v>1</v>
      </c>
      <c r="N15" s="59">
        <f>2*O15</f>
        <v>5.1099999999999994</v>
      </c>
      <c r="O15" s="59">
        <f>AO15</f>
        <v>2.5549999999999997</v>
      </c>
      <c r="P15" s="59">
        <f>AV15</f>
        <v>5.7770000000000001</v>
      </c>
      <c r="Q15" s="59">
        <f>AU15</f>
        <v>6.556</v>
      </c>
      <c r="R15" s="59">
        <f>AL15</f>
        <v>5.2220000000000004</v>
      </c>
      <c r="S15" s="61">
        <f>'Raw Data'!CT5</f>
        <v>5.9790000000000001</v>
      </c>
      <c r="T15" s="61">
        <f>'Raw Data'!CR5</f>
        <v>3.25</v>
      </c>
      <c r="U15" s="61">
        <f>'Raw Data'!CW5</f>
        <v>5.875</v>
      </c>
      <c r="V15" s="61">
        <f>'Raw Data'!DA5</f>
        <v>6.75</v>
      </c>
      <c r="W15" s="61">
        <f>BV15</f>
        <v>3.222</v>
      </c>
      <c r="X15" s="39">
        <v>2</v>
      </c>
      <c r="Y15" s="39">
        <v>2.91</v>
      </c>
      <c r="Z15" s="39">
        <v>3</v>
      </c>
      <c r="AA15" s="39" t="s">
        <v>318</v>
      </c>
      <c r="AD15" s="12">
        <f>'Raw Data'!D5</f>
        <v>0</v>
      </c>
      <c r="AE15" s="13">
        <f>'Raw Data'!E5</f>
        <v>5</v>
      </c>
      <c r="AF15" s="13">
        <f>'Raw Data'!F5</f>
        <v>4</v>
      </c>
      <c r="AG15" s="13">
        <f>'Raw Data'!G5</f>
        <v>8</v>
      </c>
      <c r="AH15" s="13">
        <f>'Raw Data'!O5</f>
        <v>8</v>
      </c>
      <c r="AI15" s="13">
        <f>'Raw Data'!T5</f>
        <v>4</v>
      </c>
      <c r="AJ15" s="13">
        <f>'Raw Data'!Y5</f>
        <v>0</v>
      </c>
      <c r="AK15" s="13">
        <f>'Raw Data'!AD5</f>
        <v>0</v>
      </c>
      <c r="AL15" s="22">
        <f>'Raw Data'!BV5</f>
        <v>5.2220000000000004</v>
      </c>
      <c r="AM15" s="15">
        <f>'Raw Data'!BG5</f>
        <v>1.333</v>
      </c>
      <c r="AN15" s="15">
        <f>'Raw Data'!BL5</f>
        <v>1.222</v>
      </c>
      <c r="AO15" s="15">
        <f>AM15+AN15</f>
        <v>2.5549999999999997</v>
      </c>
      <c r="AP15" s="15">
        <f>'Raw Data'!AW5</f>
        <v>0.33300000000000002</v>
      </c>
      <c r="AQ15" s="15">
        <f>'Raw Data'!BB5</f>
        <v>1.333</v>
      </c>
      <c r="AR15" s="15">
        <f>AP15+AQ15</f>
        <v>1.6659999999999999</v>
      </c>
      <c r="AS15" s="15">
        <f>'Raw Data'!BQ5</f>
        <v>1</v>
      </c>
      <c r="AT15" s="16">
        <f>'Raw Data'!BY5</f>
        <v>0</v>
      </c>
      <c r="AU15" s="26">
        <f>'Raw Data'!AI5</f>
        <v>6.556</v>
      </c>
      <c r="AV15" s="27">
        <f>SUM(AX15:AZ15)</f>
        <v>5.7770000000000001</v>
      </c>
      <c r="AW15" s="27">
        <f>'Raw Data'!AN5</f>
        <v>0.77800000000000002</v>
      </c>
      <c r="AX15" s="27">
        <f>'Raw Data'!AS5</f>
        <v>2.3330000000000002</v>
      </c>
      <c r="AY15" s="27">
        <f>'Raw Data'!AU5</f>
        <v>2</v>
      </c>
      <c r="AZ15" s="27">
        <f>'Raw Data'!AL5</f>
        <v>1.444</v>
      </c>
      <c r="BA15" s="17">
        <f>'Raw Data'!CF5</f>
        <v>0</v>
      </c>
      <c r="BB15" s="18">
        <f>'Raw Data'!CJ5</f>
        <v>0</v>
      </c>
      <c r="BC15" s="18">
        <f>'Raw Data'!CM5</f>
        <v>0</v>
      </c>
      <c r="BD15" s="18">
        <f>'Raw Data'!CO5</f>
        <v>0</v>
      </c>
      <c r="BE15" s="19">
        <f>'Raw Data'!CP5</f>
        <v>0</v>
      </c>
      <c r="BF15" s="20">
        <f>'Raw Data'!DO5/$C15</f>
        <v>0.66666666666666663</v>
      </c>
      <c r="BG15" s="20">
        <f>'Raw Data'!DG5/$C15</f>
        <v>0</v>
      </c>
      <c r="BH15" s="20">
        <f>'Raw Data'!DK5/$C15</f>
        <v>1.7777777777777777</v>
      </c>
      <c r="BI15" s="20">
        <f>'Raw Data'!DS5/$C15</f>
        <v>0.33333333333333331</v>
      </c>
      <c r="BJ15" s="12">
        <f>'Raw Data'!DP5/$C15</f>
        <v>0</v>
      </c>
      <c r="BK15" s="12">
        <f>'Raw Data'!DH5/$C15</f>
        <v>0.55555555555555558</v>
      </c>
      <c r="BL15" s="12">
        <f>'Raw Data'!DL5/$C15</f>
        <v>0.1111111111111111</v>
      </c>
      <c r="BM15" s="12">
        <f>'Raw Data'!DT5/$C15</f>
        <v>0</v>
      </c>
      <c r="BN15" s="22">
        <f>'Raw Data'!DQ5/$C15</f>
        <v>0.66666666666666663</v>
      </c>
      <c r="BO15" s="22">
        <f>'Raw Data'!DI5/$C15</f>
        <v>0</v>
      </c>
      <c r="BP15" s="22">
        <f>'Raw Data'!DM5/$C15</f>
        <v>0.55555555555555558</v>
      </c>
      <c r="BQ15" s="22">
        <f>'Raw Data'!DU5/$C15</f>
        <v>0.44444444444444442</v>
      </c>
      <c r="BR15" s="17">
        <f>'Raw Data'!DR5/$C15</f>
        <v>0</v>
      </c>
      <c r="BS15" s="17">
        <f>'Raw Data'!DJ5/$C15</f>
        <v>1.1111111111111112</v>
      </c>
      <c r="BT15" s="17">
        <f>'Raw Data'!DN5/$C15</f>
        <v>0</v>
      </c>
      <c r="BU15" s="17">
        <f>'Raw Data'!DV5/$C15</f>
        <v>0.1111111111111111</v>
      </c>
      <c r="BV15" s="12">
        <f>'Raw Data'!EM5</f>
        <v>3.222</v>
      </c>
      <c r="BW15" s="13">
        <f>'Raw Data'!EN5</f>
        <v>4</v>
      </c>
      <c r="BX15" s="13">
        <f>'Raw Data'!CC5</f>
        <v>22</v>
      </c>
      <c r="BY15" s="13">
        <f>SUM(AR15:AS15)</f>
        <v>2.6659999999999999</v>
      </c>
    </row>
    <row r="16" spans="1:78" x14ac:dyDescent="0.25">
      <c r="A16">
        <f>'Raw Data'!A53</f>
        <v>6377</v>
      </c>
      <c r="B16" t="str">
        <f>'Raw Data'!B53</f>
        <v xml:space="preserve"> Howdy Bots</v>
      </c>
      <c r="C16">
        <f>'Raw Data'!C53</f>
        <v>10</v>
      </c>
      <c r="E16" s="57">
        <f>IF(_xlfn.IFNA(MATCH(A16,'Center Switch 2'!A:A, 0),0)&gt;0,1,0)</f>
        <v>1</v>
      </c>
      <c r="F16" s="57">
        <f>_xlfn.IFNA(VLOOKUP(A16,'Center Switch 2'!A:G,2,0),0)</f>
        <v>4</v>
      </c>
      <c r="G16" s="57">
        <f>_xlfn.IFNA(VLOOKUP(A16,'Center Switch 2'!A:G,4,0),0)</f>
        <v>2</v>
      </c>
      <c r="H16" s="57">
        <f>_xlfn.IFNA(VLOOKUP(A16,'Center Switch 2'!A:G,5,0),0)</f>
        <v>0.66666666666666663</v>
      </c>
      <c r="I16" s="57">
        <f>_xlfn.IFNA(VLOOKUP(A16,'Center Switch 2'!A:G,6,0),0)</f>
        <v>1</v>
      </c>
      <c r="J16" s="57">
        <f>_xlfn.IFNA(VLOOKUP(A16,'Center Switch 2'!A:G,7,0),0)</f>
        <v>0.33333333333333331</v>
      </c>
      <c r="K16" s="59">
        <f>AP16</f>
        <v>1.9</v>
      </c>
      <c r="L16" s="59">
        <f>AQ16</f>
        <v>0.2</v>
      </c>
      <c r="M16" s="59">
        <f>AS16</f>
        <v>6</v>
      </c>
      <c r="N16" s="59">
        <f>2*O16</f>
        <v>0</v>
      </c>
      <c r="O16" s="59">
        <f>AO16</f>
        <v>0</v>
      </c>
      <c r="P16" s="59">
        <f>AV16</f>
        <v>7.5</v>
      </c>
      <c r="Q16" s="59">
        <f>AU16</f>
        <v>7.6</v>
      </c>
      <c r="R16" s="59">
        <f>AL16</f>
        <v>8.1</v>
      </c>
      <c r="S16" s="61">
        <f>'Raw Data'!CT53</f>
        <v>3.835</v>
      </c>
      <c r="T16" s="61">
        <f>'Raw Data'!CR53</f>
        <v>4.5839999999999996</v>
      </c>
      <c r="U16" s="61">
        <f>'Raw Data'!CW53</f>
        <v>20</v>
      </c>
      <c r="V16" s="61">
        <f>'Raw Data'!DA53</f>
        <v>19</v>
      </c>
      <c r="W16" s="61">
        <f>BV16</f>
        <v>3.5</v>
      </c>
      <c r="X16" s="39">
        <v>1</v>
      </c>
      <c r="Y16" s="39">
        <v>1.2</v>
      </c>
      <c r="Z16" s="39">
        <v>4</v>
      </c>
      <c r="AA16" s="39" t="s">
        <v>319</v>
      </c>
      <c r="AD16" s="12">
        <f>'Raw Data'!D53</f>
        <v>2</v>
      </c>
      <c r="AE16" s="13">
        <f>'Raw Data'!E53</f>
        <v>4</v>
      </c>
      <c r="AF16" s="13">
        <f>'Raw Data'!F53</f>
        <v>4</v>
      </c>
      <c r="AG16" s="13">
        <f>'Raw Data'!G53</f>
        <v>8</v>
      </c>
      <c r="AH16" s="13">
        <f>'Raw Data'!O53</f>
        <v>6</v>
      </c>
      <c r="AI16" s="13">
        <f>'Raw Data'!T53</f>
        <v>0</v>
      </c>
      <c r="AJ16" s="13">
        <f>'Raw Data'!Y53</f>
        <v>0</v>
      </c>
      <c r="AK16" s="13">
        <f>'Raw Data'!AD53</f>
        <v>0</v>
      </c>
      <c r="AL16" s="22">
        <f>'Raw Data'!BV53</f>
        <v>8.1</v>
      </c>
      <c r="AM16" s="15">
        <f>'Raw Data'!BG53</f>
        <v>0</v>
      </c>
      <c r="AN16" s="15">
        <f>'Raw Data'!BL53</f>
        <v>0</v>
      </c>
      <c r="AO16" s="15">
        <f>AM16+AN16</f>
        <v>0</v>
      </c>
      <c r="AP16" s="15">
        <f>'Raw Data'!AW53</f>
        <v>1.9</v>
      </c>
      <c r="AQ16" s="15">
        <f>'Raw Data'!BB53</f>
        <v>0.2</v>
      </c>
      <c r="AR16" s="15">
        <f>AP16+AQ16</f>
        <v>2.1</v>
      </c>
      <c r="AS16" s="15">
        <f>'Raw Data'!BQ53</f>
        <v>6</v>
      </c>
      <c r="AT16" s="16">
        <f>'Raw Data'!BY53</f>
        <v>0.3</v>
      </c>
      <c r="AU16" s="26">
        <f>'Raw Data'!AI53</f>
        <v>7.6</v>
      </c>
      <c r="AV16" s="27">
        <f>SUM(AX16:AZ16)</f>
        <v>7.5</v>
      </c>
      <c r="AW16" s="27">
        <f>'Raw Data'!AN53</f>
        <v>0.1</v>
      </c>
      <c r="AX16" s="27">
        <f>'Raw Data'!AS53</f>
        <v>5.0999999999999996</v>
      </c>
      <c r="AY16" s="27">
        <f>'Raw Data'!AU53</f>
        <v>0.4</v>
      </c>
      <c r="AZ16" s="27">
        <f>'Raw Data'!AL53</f>
        <v>2</v>
      </c>
      <c r="BA16" s="17">
        <f>'Raw Data'!CF53</f>
        <v>0</v>
      </c>
      <c r="BB16" s="18">
        <f>'Raw Data'!CJ53</f>
        <v>0</v>
      </c>
      <c r="BC16" s="18">
        <f>'Raw Data'!CM53</f>
        <v>0</v>
      </c>
      <c r="BD16" s="18">
        <f>'Raw Data'!CO53</f>
        <v>0</v>
      </c>
      <c r="BE16" s="19">
        <f>'Raw Data'!CP53</f>
        <v>4</v>
      </c>
      <c r="BF16" s="20">
        <f>'Raw Data'!DO53/$C16</f>
        <v>0</v>
      </c>
      <c r="BG16" s="20">
        <f>'Raw Data'!DG53/$C16</f>
        <v>0</v>
      </c>
      <c r="BH16" s="20">
        <f>'Raw Data'!DK53/$C16</f>
        <v>0</v>
      </c>
      <c r="BI16" s="20">
        <f>'Raw Data'!DS53/$C16</f>
        <v>0</v>
      </c>
      <c r="BJ16" s="12">
        <f>'Raw Data'!DP53/$C16</f>
        <v>0.1</v>
      </c>
      <c r="BK16" s="12">
        <f>'Raw Data'!DH53/$C16</f>
        <v>0.8</v>
      </c>
      <c r="BL16" s="12">
        <f>'Raw Data'!DL53/$C16</f>
        <v>0.4</v>
      </c>
      <c r="BM16" s="12">
        <f>'Raw Data'!DT53/$C16</f>
        <v>0.5</v>
      </c>
      <c r="BN16" s="22">
        <f>'Raw Data'!DQ53/$C16</f>
        <v>0.1</v>
      </c>
      <c r="BO16" s="22">
        <f>'Raw Data'!DI53/$C16</f>
        <v>0</v>
      </c>
      <c r="BP16" s="22">
        <f>'Raw Data'!DM53/$C16</f>
        <v>0.1</v>
      </c>
      <c r="BQ16" s="22">
        <f>'Raw Data'!DU53/$C16</f>
        <v>0</v>
      </c>
      <c r="BR16" s="17">
        <f>'Raw Data'!DR53/$C16</f>
        <v>0</v>
      </c>
      <c r="BS16" s="17">
        <f>'Raw Data'!DJ53/$C16</f>
        <v>5.3</v>
      </c>
      <c r="BT16" s="17">
        <f>'Raw Data'!DN53/$C16</f>
        <v>0</v>
      </c>
      <c r="BU16" s="17">
        <f>'Raw Data'!DV53/$C16</f>
        <v>0.9</v>
      </c>
      <c r="BV16" s="12">
        <f>'Raw Data'!EM53</f>
        <v>3.5</v>
      </c>
      <c r="BW16" s="13">
        <f>'Raw Data'!EN53</f>
        <v>3.4</v>
      </c>
      <c r="BX16" s="13">
        <f>'Raw Data'!CC53</f>
        <v>0</v>
      </c>
      <c r="BY16" s="13">
        <f>SUM(AR16:AS16)</f>
        <v>8.1</v>
      </c>
    </row>
    <row r="17" spans="1:77" x14ac:dyDescent="0.25">
      <c r="A17">
        <f>'Raw Data'!A36</f>
        <v>4061</v>
      </c>
      <c r="B17" t="str">
        <f>'Raw Data'!B36</f>
        <v xml:space="preserve"> SciBorgs</v>
      </c>
      <c r="C17">
        <f>'Raw Data'!C36</f>
        <v>10</v>
      </c>
      <c r="E17" s="57">
        <f>IF(_xlfn.IFNA(MATCH(A17,'Center Switch 2'!A:A, 0),0)&gt;0,1,0)</f>
        <v>1</v>
      </c>
      <c r="F17" s="57">
        <f>_xlfn.IFNA(VLOOKUP(A17,'Center Switch 2'!A:G,2,0),0)</f>
        <v>6</v>
      </c>
      <c r="G17" s="57">
        <f>_xlfn.IFNA(VLOOKUP(A17,'Center Switch 2'!A:G,4,0),0)</f>
        <v>6</v>
      </c>
      <c r="H17" s="57">
        <f>_xlfn.IFNA(VLOOKUP(A17,'Center Switch 2'!A:G,5,0),0)</f>
        <v>1</v>
      </c>
      <c r="I17" s="57">
        <f>_xlfn.IFNA(VLOOKUP(A17,'Center Switch 2'!A:G,6,0),0)</f>
        <v>0</v>
      </c>
      <c r="J17" s="57">
        <f>_xlfn.IFNA(VLOOKUP(A17,'Center Switch 2'!A:G,7,0),0)</f>
        <v>0</v>
      </c>
      <c r="K17" s="59">
        <f>AP17</f>
        <v>2.2999999999999998</v>
      </c>
      <c r="L17" s="59">
        <f>AQ17</f>
        <v>2.7</v>
      </c>
      <c r="M17" s="59">
        <f>AS17</f>
        <v>4.5999999999999996</v>
      </c>
      <c r="N17" s="59">
        <f>2*O17</f>
        <v>0</v>
      </c>
      <c r="O17" s="59">
        <f>AO17</f>
        <v>0</v>
      </c>
      <c r="P17" s="59">
        <f>AV17</f>
        <v>7</v>
      </c>
      <c r="Q17" s="59">
        <f>AU17</f>
        <v>8.6999999999999993</v>
      </c>
      <c r="R17" s="59">
        <f>AL17</f>
        <v>9.6</v>
      </c>
      <c r="S17" s="61">
        <f>'Raw Data'!CT36</f>
        <v>6.1509999999999998</v>
      </c>
      <c r="T17" s="61">
        <f>'Raw Data'!CR36</f>
        <v>4.8140000000000001</v>
      </c>
      <c r="U17" s="61">
        <f>'Raw Data'!CW36</f>
        <v>0</v>
      </c>
      <c r="V17" s="61">
        <f>'Raw Data'!DA36</f>
        <v>5.1550000000000002</v>
      </c>
      <c r="W17" s="61">
        <f>BV17</f>
        <v>4</v>
      </c>
      <c r="X17" s="39">
        <v>1</v>
      </c>
      <c r="Y17" s="39">
        <v>1.1000000000000001</v>
      </c>
      <c r="Z17" s="39">
        <v>5</v>
      </c>
      <c r="AA17" s="39" t="s">
        <v>319</v>
      </c>
      <c r="AD17" s="12">
        <f>'Raw Data'!D36</f>
        <v>2</v>
      </c>
      <c r="AE17" s="13">
        <f>'Raw Data'!E36</f>
        <v>6</v>
      </c>
      <c r="AF17" s="13">
        <f>'Raw Data'!F36</f>
        <v>2</v>
      </c>
      <c r="AG17" s="13">
        <f>'Raw Data'!G36</f>
        <v>10</v>
      </c>
      <c r="AH17" s="13">
        <f>'Raw Data'!O36</f>
        <v>7</v>
      </c>
      <c r="AI17" s="13">
        <f>'Raw Data'!T36</f>
        <v>0</v>
      </c>
      <c r="AJ17" s="13">
        <f>'Raw Data'!Y36</f>
        <v>0</v>
      </c>
      <c r="AK17" s="13">
        <f>'Raw Data'!AD36</f>
        <v>0</v>
      </c>
      <c r="AL17" s="22">
        <f>'Raw Data'!BV36</f>
        <v>9.6</v>
      </c>
      <c r="AM17" s="15">
        <f>'Raw Data'!BG36</f>
        <v>0</v>
      </c>
      <c r="AN17" s="15">
        <f>'Raw Data'!BL36</f>
        <v>0</v>
      </c>
      <c r="AO17" s="15">
        <f>AM17+AN17</f>
        <v>0</v>
      </c>
      <c r="AP17" s="15">
        <f>'Raw Data'!AW36</f>
        <v>2.2999999999999998</v>
      </c>
      <c r="AQ17" s="15">
        <f>'Raw Data'!BB36</f>
        <v>2.7</v>
      </c>
      <c r="AR17" s="15">
        <f>AP17+AQ17</f>
        <v>5</v>
      </c>
      <c r="AS17" s="15">
        <f>'Raw Data'!BQ36</f>
        <v>4.5999999999999996</v>
      </c>
      <c r="AT17" s="16">
        <f>'Raw Data'!BY36</f>
        <v>0.2</v>
      </c>
      <c r="AU17" s="26">
        <f>'Raw Data'!AI36</f>
        <v>8.6999999999999993</v>
      </c>
      <c r="AV17" s="27">
        <f>SUM(AX17:AZ17)</f>
        <v>7</v>
      </c>
      <c r="AW17" s="27">
        <f>'Raw Data'!AN36</f>
        <v>1.7</v>
      </c>
      <c r="AX17" s="27">
        <f>'Raw Data'!AS36</f>
        <v>4.8</v>
      </c>
      <c r="AY17" s="27">
        <f>'Raw Data'!AU36</f>
        <v>1</v>
      </c>
      <c r="AZ17" s="27">
        <f>'Raw Data'!AL36</f>
        <v>1.2</v>
      </c>
      <c r="BA17" s="17">
        <f>'Raw Data'!CF36</f>
        <v>0</v>
      </c>
      <c r="BB17" s="18">
        <f>'Raw Data'!CJ36</f>
        <v>0</v>
      </c>
      <c r="BC17" s="18">
        <f>'Raw Data'!CM36</f>
        <v>0</v>
      </c>
      <c r="BD17" s="18">
        <f>'Raw Data'!CO36</f>
        <v>0</v>
      </c>
      <c r="BE17" s="19">
        <f>'Raw Data'!CP36</f>
        <v>3</v>
      </c>
      <c r="BF17" s="20">
        <f>'Raw Data'!DO36/$C17</f>
        <v>0</v>
      </c>
      <c r="BG17" s="20">
        <f>'Raw Data'!DG36/$C17</f>
        <v>0</v>
      </c>
      <c r="BH17" s="20">
        <f>'Raw Data'!DK36/$C17</f>
        <v>0</v>
      </c>
      <c r="BI17" s="20">
        <f>'Raw Data'!DS36/$C17</f>
        <v>0</v>
      </c>
      <c r="BJ17" s="12">
        <f>'Raw Data'!DP36/$C17</f>
        <v>0.1</v>
      </c>
      <c r="BK17" s="12">
        <f>'Raw Data'!DH36/$C17</f>
        <v>1.4</v>
      </c>
      <c r="BL17" s="12">
        <f>'Raw Data'!DL36/$C17</f>
        <v>0.6</v>
      </c>
      <c r="BM17" s="12">
        <f>'Raw Data'!DT36/$C17</f>
        <v>0.3</v>
      </c>
      <c r="BN17" s="22">
        <f>'Raw Data'!DQ36/$C17</f>
        <v>1.2</v>
      </c>
      <c r="BO17" s="22">
        <f>'Raw Data'!DI36/$C17</f>
        <v>0.2</v>
      </c>
      <c r="BP17" s="22">
        <f>'Raw Data'!DM36/$C17</f>
        <v>0</v>
      </c>
      <c r="BQ17" s="22">
        <f>'Raw Data'!DU36/$C17</f>
        <v>0.7</v>
      </c>
      <c r="BR17" s="17">
        <f>'Raw Data'!DR36/$C17</f>
        <v>0.1</v>
      </c>
      <c r="BS17" s="17">
        <f>'Raw Data'!DJ36/$C17</f>
        <v>3.3</v>
      </c>
      <c r="BT17" s="17">
        <f>'Raw Data'!DN36/$C17</f>
        <v>0.1</v>
      </c>
      <c r="BU17" s="17">
        <f>'Raw Data'!DV36/$C17</f>
        <v>0.1</v>
      </c>
      <c r="BV17" s="12">
        <f>'Raw Data'!EM36</f>
        <v>4</v>
      </c>
      <c r="BW17" s="13">
        <f>'Raw Data'!EN36</f>
        <v>0</v>
      </c>
      <c r="BX17" s="13">
        <f>'Raw Data'!CC36</f>
        <v>0</v>
      </c>
      <c r="BY17" s="13">
        <f>SUM(AR17:AS17)</f>
        <v>9.6</v>
      </c>
    </row>
    <row r="18" spans="1:77" x14ac:dyDescent="0.25">
      <c r="A18">
        <f>'Raw Data'!A44</f>
        <v>5199</v>
      </c>
      <c r="B18" t="str">
        <f>'Raw Data'!B44</f>
        <v xml:space="preserve"> Robot Dolphins From Outer Space</v>
      </c>
      <c r="C18">
        <f>'Raw Data'!C44</f>
        <v>10</v>
      </c>
      <c r="E18" s="57">
        <f>IF(_xlfn.IFNA(MATCH(A18,'Center Switch 2'!A:A, 0),0)&gt;0,1,0)</f>
        <v>1</v>
      </c>
      <c r="F18" s="57">
        <f>_xlfn.IFNA(VLOOKUP(A18,'Center Switch 2'!A:G,2,0),0)</f>
        <v>6</v>
      </c>
      <c r="G18" s="57">
        <f>_xlfn.IFNA(VLOOKUP(A18,'Center Switch 2'!A:G,4,0),0)</f>
        <v>6</v>
      </c>
      <c r="H18" s="57">
        <f>_xlfn.IFNA(VLOOKUP(A18,'Center Switch 2'!A:G,5,0),0)</f>
        <v>1</v>
      </c>
      <c r="I18" s="57">
        <f>_xlfn.IFNA(VLOOKUP(A18,'Center Switch 2'!A:G,6,0),0)</f>
        <v>0</v>
      </c>
      <c r="J18" s="57">
        <f>_xlfn.IFNA(VLOOKUP(A18,'Center Switch 2'!A:G,7,0),0)</f>
        <v>0</v>
      </c>
      <c r="K18" s="59">
        <f>AP18</f>
        <v>0.5</v>
      </c>
      <c r="L18" s="59">
        <f>AQ18</f>
        <v>1.5</v>
      </c>
      <c r="M18" s="59">
        <f>AS18</f>
        <v>0.1</v>
      </c>
      <c r="N18" s="59">
        <f>2*O18</f>
        <v>7.4</v>
      </c>
      <c r="O18" s="59">
        <f>AO18</f>
        <v>3.7</v>
      </c>
      <c r="P18" s="59">
        <f>AV18</f>
        <v>5.2</v>
      </c>
      <c r="Q18" s="59">
        <f>AU18</f>
        <v>6.3</v>
      </c>
      <c r="R18" s="59">
        <f>AL18</f>
        <v>5.8</v>
      </c>
      <c r="S18" s="61">
        <f>'Raw Data'!CT44</f>
        <v>0</v>
      </c>
      <c r="T18" s="61">
        <f>'Raw Data'!CR44</f>
        <v>5.25</v>
      </c>
      <c r="U18" s="61">
        <f>'Raw Data'!CW44</f>
        <v>6</v>
      </c>
      <c r="V18" s="61">
        <f>'Raw Data'!DA44</f>
        <v>6.5</v>
      </c>
      <c r="W18" s="61">
        <f>BV18</f>
        <v>3.6</v>
      </c>
      <c r="X18" s="39">
        <v>3</v>
      </c>
      <c r="Y18" s="39">
        <v>2.25</v>
      </c>
      <c r="Z18" s="39">
        <v>6</v>
      </c>
      <c r="AA18" s="39" t="s">
        <v>320</v>
      </c>
      <c r="AD18" s="12">
        <f>'Raw Data'!D44</f>
        <v>3</v>
      </c>
      <c r="AE18" s="13">
        <f>'Raw Data'!E44</f>
        <v>6</v>
      </c>
      <c r="AF18" s="13">
        <f>'Raw Data'!F44</f>
        <v>1</v>
      </c>
      <c r="AG18" s="13">
        <f>'Raw Data'!G44</f>
        <v>10</v>
      </c>
      <c r="AH18" s="13">
        <f>'Raw Data'!O44</f>
        <v>7</v>
      </c>
      <c r="AI18" s="13">
        <f>'Raw Data'!T44</f>
        <v>1</v>
      </c>
      <c r="AJ18" s="13">
        <f>'Raw Data'!Y44</f>
        <v>0</v>
      </c>
      <c r="AK18" s="13">
        <f>'Raw Data'!AD44</f>
        <v>0</v>
      </c>
      <c r="AL18" s="22">
        <f>'Raw Data'!BV44</f>
        <v>5.8</v>
      </c>
      <c r="AM18" s="15">
        <f>'Raw Data'!BG44</f>
        <v>1.7</v>
      </c>
      <c r="AN18" s="15">
        <f>'Raw Data'!BL44</f>
        <v>2</v>
      </c>
      <c r="AO18" s="15">
        <f>AM18+AN18</f>
        <v>3.7</v>
      </c>
      <c r="AP18" s="15">
        <f>'Raw Data'!AW44</f>
        <v>0.5</v>
      </c>
      <c r="AQ18" s="15">
        <f>'Raw Data'!BB44</f>
        <v>1.5</v>
      </c>
      <c r="AR18" s="15">
        <f>AP18+AQ18</f>
        <v>2</v>
      </c>
      <c r="AS18" s="15">
        <f>'Raw Data'!BQ44</f>
        <v>0.1</v>
      </c>
      <c r="AT18" s="16">
        <f>'Raw Data'!BY44</f>
        <v>0</v>
      </c>
      <c r="AU18" s="26">
        <f>'Raw Data'!AI44</f>
        <v>6.3</v>
      </c>
      <c r="AV18" s="27">
        <f>SUM(AX18:AZ18)</f>
        <v>5.2</v>
      </c>
      <c r="AW18" s="27">
        <f>'Raw Data'!AN44</f>
        <v>1.1000000000000001</v>
      </c>
      <c r="AX18" s="27">
        <f>'Raw Data'!AS44</f>
        <v>1.4</v>
      </c>
      <c r="AY18" s="27">
        <f>'Raw Data'!AU44</f>
        <v>1.3</v>
      </c>
      <c r="AZ18" s="27">
        <f>'Raw Data'!AL44</f>
        <v>2.5</v>
      </c>
      <c r="BA18" s="17">
        <f>'Raw Data'!CF44</f>
        <v>100</v>
      </c>
      <c r="BB18" s="18">
        <f>'Raw Data'!CJ44</f>
        <v>0</v>
      </c>
      <c r="BC18" s="18">
        <f>'Raw Data'!CM44</f>
        <v>0</v>
      </c>
      <c r="BD18" s="18">
        <f>'Raw Data'!CO44</f>
        <v>0</v>
      </c>
      <c r="BE18" s="19">
        <f>'Raw Data'!CP44</f>
        <v>1</v>
      </c>
      <c r="BF18" s="20">
        <f>'Raw Data'!DO44/$C18</f>
        <v>0.2</v>
      </c>
      <c r="BG18" s="20">
        <f>'Raw Data'!DG44/$C18</f>
        <v>0.9</v>
      </c>
      <c r="BH18" s="20">
        <f>'Raw Data'!DK44/$C18</f>
        <v>1.9</v>
      </c>
      <c r="BI18" s="20">
        <f>'Raw Data'!DS44/$C18</f>
        <v>1.4</v>
      </c>
      <c r="BJ18" s="12">
        <f>'Raw Data'!DP44/$C18</f>
        <v>0.1</v>
      </c>
      <c r="BK18" s="12">
        <f>'Raw Data'!DH44/$C18</f>
        <v>0.3</v>
      </c>
      <c r="BL18" s="12">
        <f>'Raw Data'!DL44/$C18</f>
        <v>0</v>
      </c>
      <c r="BM18" s="12">
        <f>'Raw Data'!DT44/$C18</f>
        <v>0</v>
      </c>
      <c r="BN18" s="22">
        <f>'Raw Data'!DQ44/$C18</f>
        <v>0.5</v>
      </c>
      <c r="BO18" s="22">
        <f>'Raw Data'!DI44/$C18</f>
        <v>0</v>
      </c>
      <c r="BP18" s="22">
        <f>'Raw Data'!DM44/$C18</f>
        <v>0.1</v>
      </c>
      <c r="BQ18" s="22">
        <f>'Raw Data'!DU44/$C18</f>
        <v>1.1000000000000001</v>
      </c>
      <c r="BR18" s="17">
        <f>'Raw Data'!DR44/$C18</f>
        <v>0</v>
      </c>
      <c r="BS18" s="17">
        <f>'Raw Data'!DJ44/$C18</f>
        <v>0</v>
      </c>
      <c r="BT18" s="17">
        <f>'Raw Data'!DN44/$C18</f>
        <v>0</v>
      </c>
      <c r="BU18" s="17">
        <f>'Raw Data'!DV44/$C18</f>
        <v>0.1</v>
      </c>
      <c r="BV18" s="12">
        <f>'Raw Data'!EM44</f>
        <v>3.6</v>
      </c>
      <c r="BW18" s="13">
        <f>'Raw Data'!EN44</f>
        <v>0</v>
      </c>
      <c r="BX18" s="13">
        <f>'Raw Data'!CC44</f>
        <v>22</v>
      </c>
      <c r="BY18" s="13">
        <f>SUM(AR18:AS18)</f>
        <v>2.1</v>
      </c>
    </row>
    <row r="19" spans="1:77" x14ac:dyDescent="0.25">
      <c r="A19">
        <f>'Raw Data'!A3</f>
        <v>604</v>
      </c>
      <c r="B19" t="str">
        <f>'Raw Data'!B3</f>
        <v xml:space="preserve"> Quixilver</v>
      </c>
      <c r="C19">
        <f>'Raw Data'!C3</f>
        <v>10</v>
      </c>
      <c r="E19" s="57">
        <f>IF(_xlfn.IFNA(MATCH(A19,'Center Switch 2'!A:A, 0),0)&gt;0,1,0)</f>
        <v>1</v>
      </c>
      <c r="F19" s="57">
        <f>_xlfn.IFNA(VLOOKUP(A19,'Center Switch 2'!A:G,2,0),0)</f>
        <v>6</v>
      </c>
      <c r="G19" s="57">
        <f>_xlfn.IFNA(VLOOKUP(A19,'Center Switch 2'!A:G,4,0),0)</f>
        <v>3</v>
      </c>
      <c r="H19" s="57">
        <f>_xlfn.IFNA(VLOOKUP(A19,'Center Switch 2'!A:G,5,0),0)</f>
        <v>1</v>
      </c>
      <c r="I19" s="57">
        <f>_xlfn.IFNA(VLOOKUP(A19,'Center Switch 2'!A:G,6,0),0)</f>
        <v>0</v>
      </c>
      <c r="J19" s="57">
        <f>_xlfn.IFNA(VLOOKUP(A19,'Center Switch 2'!A:G,7,0),0)</f>
        <v>0</v>
      </c>
      <c r="K19" s="59">
        <f>AP19</f>
        <v>0.9</v>
      </c>
      <c r="L19" s="59">
        <f>AQ19</f>
        <v>0.3</v>
      </c>
      <c r="M19" s="59">
        <f>AS19</f>
        <v>1.8</v>
      </c>
      <c r="N19" s="59">
        <f>2*O19</f>
        <v>7.8</v>
      </c>
      <c r="O19" s="59">
        <f>AO19</f>
        <v>3.9</v>
      </c>
      <c r="P19" s="59">
        <f>AV19</f>
        <v>7.6</v>
      </c>
      <c r="Q19" s="59">
        <f>AU19</f>
        <v>7.8</v>
      </c>
      <c r="R19" s="59">
        <f>AL19</f>
        <v>6.9</v>
      </c>
      <c r="S19" s="61">
        <f>'Raw Data'!CT3</f>
        <v>5</v>
      </c>
      <c r="T19" s="61">
        <f>'Raw Data'!CR3</f>
        <v>13.5</v>
      </c>
      <c r="U19" s="61">
        <f>'Raw Data'!CW3</f>
        <v>0</v>
      </c>
      <c r="V19" s="61">
        <f>'Raw Data'!DA3</f>
        <v>5</v>
      </c>
      <c r="W19" s="61">
        <f>BV19</f>
        <v>3.3</v>
      </c>
      <c r="X19" s="39">
        <v>2</v>
      </c>
      <c r="Y19" s="39">
        <v>2.2999999999999998</v>
      </c>
      <c r="Z19" s="39">
        <v>7</v>
      </c>
      <c r="AA19" s="39" t="s">
        <v>319</v>
      </c>
      <c r="AD19" s="12">
        <f>'Raw Data'!D3</f>
        <v>3</v>
      </c>
      <c r="AE19" s="13">
        <f>'Raw Data'!E3</f>
        <v>6</v>
      </c>
      <c r="AF19" s="13">
        <f>'Raw Data'!F3</f>
        <v>1</v>
      </c>
      <c r="AG19" s="13">
        <f>'Raw Data'!G3</f>
        <v>9</v>
      </c>
      <c r="AH19" s="13">
        <f>'Raw Data'!O3</f>
        <v>3</v>
      </c>
      <c r="AI19" s="13">
        <f>'Raw Data'!T3</f>
        <v>2</v>
      </c>
      <c r="AJ19" s="13">
        <f>'Raw Data'!Y3</f>
        <v>0</v>
      </c>
      <c r="AK19" s="13">
        <f>'Raw Data'!AD3</f>
        <v>0</v>
      </c>
      <c r="AL19" s="22">
        <f>'Raw Data'!BV3</f>
        <v>6.9</v>
      </c>
      <c r="AM19" s="15">
        <f>'Raw Data'!BG3</f>
        <v>2.2999999999999998</v>
      </c>
      <c r="AN19" s="15">
        <f>'Raw Data'!BL3</f>
        <v>1.6</v>
      </c>
      <c r="AO19" s="15">
        <f>AM19+AN19</f>
        <v>3.9</v>
      </c>
      <c r="AP19" s="15">
        <f>'Raw Data'!AW3</f>
        <v>0.9</v>
      </c>
      <c r="AQ19" s="15">
        <f>'Raw Data'!BB3</f>
        <v>0.3</v>
      </c>
      <c r="AR19" s="15">
        <f>AP19+AQ19</f>
        <v>1.2</v>
      </c>
      <c r="AS19" s="15">
        <f>'Raw Data'!BQ3</f>
        <v>1.8</v>
      </c>
      <c r="AT19" s="16">
        <f>'Raw Data'!BY3</f>
        <v>0.1</v>
      </c>
      <c r="AU19" s="26">
        <f>'Raw Data'!AI3</f>
        <v>7.8</v>
      </c>
      <c r="AV19" s="27">
        <f>SUM(AX19:AZ19)</f>
        <v>7.6</v>
      </c>
      <c r="AW19" s="27">
        <f>'Raw Data'!AN3</f>
        <v>0.2</v>
      </c>
      <c r="AX19" s="27">
        <f>'Raw Data'!AS3</f>
        <v>1.7</v>
      </c>
      <c r="AY19" s="27">
        <f>'Raw Data'!AU3</f>
        <v>3</v>
      </c>
      <c r="AZ19" s="27">
        <f>'Raw Data'!AL3</f>
        <v>2.9</v>
      </c>
      <c r="BA19" s="17">
        <f>'Raw Data'!CF3</f>
        <v>0</v>
      </c>
      <c r="BB19" s="18">
        <f>'Raw Data'!CJ3</f>
        <v>0</v>
      </c>
      <c r="BC19" s="18">
        <f>'Raw Data'!CM3</f>
        <v>0</v>
      </c>
      <c r="BD19" s="18">
        <f>'Raw Data'!CO3</f>
        <v>0</v>
      </c>
      <c r="BE19" s="19">
        <f>'Raw Data'!CP3</f>
        <v>5</v>
      </c>
      <c r="BF19" s="20">
        <f>'Raw Data'!DO3/$C19</f>
        <v>0.2</v>
      </c>
      <c r="BG19" s="20">
        <f>'Raw Data'!DG3/$C19</f>
        <v>0.4</v>
      </c>
      <c r="BH19" s="20">
        <f>'Raw Data'!DK3/$C19</f>
        <v>2.4</v>
      </c>
      <c r="BI19" s="20">
        <f>'Raw Data'!DS3/$C19</f>
        <v>1</v>
      </c>
      <c r="BJ19" s="12">
        <f>'Raw Data'!DP3/$C19</f>
        <v>0</v>
      </c>
      <c r="BK19" s="12">
        <f>'Raw Data'!DH3/$C19</f>
        <v>0.6</v>
      </c>
      <c r="BL19" s="12">
        <f>'Raw Data'!DL3/$C19</f>
        <v>0.4</v>
      </c>
      <c r="BM19" s="12">
        <f>'Raw Data'!DT3/$C19</f>
        <v>0.1</v>
      </c>
      <c r="BN19" s="22">
        <f>'Raw Data'!DQ3/$C19</f>
        <v>0.1</v>
      </c>
      <c r="BO19" s="22">
        <f>'Raw Data'!DI3/$C19</f>
        <v>0</v>
      </c>
      <c r="BP19" s="22">
        <f>'Raw Data'!DM3/$C19</f>
        <v>0</v>
      </c>
      <c r="BQ19" s="22">
        <f>'Raw Data'!DU3/$C19</f>
        <v>0.2</v>
      </c>
      <c r="BR19" s="17">
        <f>'Raw Data'!DR3/$C19</f>
        <v>0</v>
      </c>
      <c r="BS19" s="17">
        <f>'Raw Data'!DJ3/$C19</f>
        <v>0.1</v>
      </c>
      <c r="BT19" s="17">
        <f>'Raw Data'!DN3/$C19</f>
        <v>0.8</v>
      </c>
      <c r="BU19" s="17">
        <f>'Raw Data'!DV3/$C19</f>
        <v>0.5</v>
      </c>
      <c r="BV19" s="12">
        <f>'Raw Data'!EM3</f>
        <v>3.3</v>
      </c>
      <c r="BW19" s="13">
        <f>'Raw Data'!EN3</f>
        <v>2</v>
      </c>
      <c r="BX19" s="13">
        <f>'Raw Data'!CC3</f>
        <v>22</v>
      </c>
      <c r="BY19" s="13">
        <f>SUM(AR19:AS19)</f>
        <v>3</v>
      </c>
    </row>
    <row r="20" spans="1:77" x14ac:dyDescent="0.25">
      <c r="A20">
        <f>'Raw Data'!A32</f>
        <v>3481</v>
      </c>
      <c r="B20" t="str">
        <f>'Raw Data'!B32</f>
        <v xml:space="preserve"> Bronc Botz</v>
      </c>
      <c r="C20">
        <f>'Raw Data'!C32</f>
        <v>8</v>
      </c>
      <c r="E20" s="57">
        <f>IF(_xlfn.IFNA(MATCH(A20,'Center Switch 2'!A:A, 0),0)&gt;0,1,0)</f>
        <v>1</v>
      </c>
      <c r="F20" s="57">
        <f>_xlfn.IFNA(VLOOKUP(A20,'Center Switch 2'!A:G,2,0),0)</f>
        <v>7</v>
      </c>
      <c r="G20" s="57">
        <f>_xlfn.IFNA(VLOOKUP(A20,'Center Switch 2'!A:G,4,0),0)</f>
        <v>9</v>
      </c>
      <c r="H20" s="57">
        <f>_xlfn.IFNA(VLOOKUP(A20,'Center Switch 2'!A:G,5,0),0)</f>
        <v>1.125</v>
      </c>
      <c r="I20" s="57">
        <f>_xlfn.IFNA(VLOOKUP(A20,'Center Switch 2'!A:G,6,0),0)</f>
        <v>0</v>
      </c>
      <c r="J20" s="57">
        <f>_xlfn.IFNA(VLOOKUP(A20,'Center Switch 2'!A:G,7,0),0)</f>
        <v>0</v>
      </c>
      <c r="K20" s="59">
        <f>AP20</f>
        <v>0.625</v>
      </c>
      <c r="L20" s="59">
        <f>AQ20</f>
        <v>2</v>
      </c>
      <c r="M20" s="59">
        <f>AS20</f>
        <v>1.625</v>
      </c>
      <c r="N20" s="59">
        <f>2*O20</f>
        <v>4.75</v>
      </c>
      <c r="O20" s="59">
        <f>AO20</f>
        <v>2.375</v>
      </c>
      <c r="P20" s="59">
        <f>AV20</f>
        <v>6.375</v>
      </c>
      <c r="Q20" s="59">
        <f>AU20</f>
        <v>7.625</v>
      </c>
      <c r="R20" s="59">
        <f>AL20</f>
        <v>6.625</v>
      </c>
      <c r="S20" s="61">
        <f>'Raw Data'!CT32</f>
        <v>4.1920000000000002</v>
      </c>
      <c r="T20" s="61">
        <f>'Raw Data'!CR32</f>
        <v>3.5</v>
      </c>
      <c r="U20" s="61">
        <f>'Raw Data'!CW32</f>
        <v>11.111000000000001</v>
      </c>
      <c r="V20" s="61">
        <f>'Raw Data'!DA32</f>
        <v>6.3</v>
      </c>
      <c r="W20" s="61">
        <f>BV20</f>
        <v>3.25</v>
      </c>
      <c r="X20" s="39">
        <v>1</v>
      </c>
      <c r="Y20" s="39">
        <v>1.7</v>
      </c>
      <c r="Z20" s="39">
        <v>8</v>
      </c>
      <c r="AA20" s="39" t="s">
        <v>318</v>
      </c>
      <c r="AD20" s="12">
        <f>'Raw Data'!D32</f>
        <v>0</v>
      </c>
      <c r="AE20" s="13">
        <f>'Raw Data'!E32</f>
        <v>7</v>
      </c>
      <c r="AF20" s="13">
        <f>'Raw Data'!F32</f>
        <v>1</v>
      </c>
      <c r="AG20" s="13">
        <f>'Raw Data'!G32</f>
        <v>8</v>
      </c>
      <c r="AH20" s="13">
        <f>'Raw Data'!O32</f>
        <v>7</v>
      </c>
      <c r="AI20" s="13">
        <f>'Raw Data'!T32</f>
        <v>0</v>
      </c>
      <c r="AJ20" s="13">
        <f>'Raw Data'!Y32</f>
        <v>0</v>
      </c>
      <c r="AK20" s="13">
        <f>'Raw Data'!AD32</f>
        <v>0</v>
      </c>
      <c r="AL20" s="22">
        <f>'Raw Data'!BV32</f>
        <v>6.625</v>
      </c>
      <c r="AM20" s="15">
        <f>'Raw Data'!BG32</f>
        <v>0.5</v>
      </c>
      <c r="AN20" s="15">
        <f>'Raw Data'!BL32</f>
        <v>1.875</v>
      </c>
      <c r="AO20" s="15">
        <f>AM20+AN20</f>
        <v>2.375</v>
      </c>
      <c r="AP20" s="15">
        <f>'Raw Data'!AW32</f>
        <v>0.625</v>
      </c>
      <c r="AQ20" s="15">
        <f>'Raw Data'!BB32</f>
        <v>2</v>
      </c>
      <c r="AR20" s="15">
        <f>AP20+AQ20</f>
        <v>2.625</v>
      </c>
      <c r="AS20" s="15">
        <f>'Raw Data'!BQ32</f>
        <v>1.625</v>
      </c>
      <c r="AT20" s="16">
        <f>'Raw Data'!BY32</f>
        <v>0.375</v>
      </c>
      <c r="AU20" s="26">
        <f>'Raw Data'!AI32</f>
        <v>7.625</v>
      </c>
      <c r="AV20" s="27">
        <f>SUM(AX20:AZ20)</f>
        <v>6.375</v>
      </c>
      <c r="AW20" s="27">
        <f>'Raw Data'!AN32</f>
        <v>1.25</v>
      </c>
      <c r="AX20" s="27">
        <f>'Raw Data'!AS32</f>
        <v>2.125</v>
      </c>
      <c r="AY20" s="27">
        <f>'Raw Data'!AU32</f>
        <v>2</v>
      </c>
      <c r="AZ20" s="27">
        <f>'Raw Data'!AL32</f>
        <v>2.25</v>
      </c>
      <c r="BA20" s="17">
        <f>'Raw Data'!CF32</f>
        <v>100</v>
      </c>
      <c r="BB20" s="18">
        <f>'Raw Data'!CJ32</f>
        <v>0</v>
      </c>
      <c r="BC20" s="18">
        <f>'Raw Data'!CM32</f>
        <v>0</v>
      </c>
      <c r="BD20" s="18">
        <f>'Raw Data'!CO32</f>
        <v>0</v>
      </c>
      <c r="BE20" s="19">
        <f>'Raw Data'!CP32</f>
        <v>2</v>
      </c>
      <c r="BF20" s="20">
        <f>'Raw Data'!DO32/$C20</f>
        <v>0.375</v>
      </c>
      <c r="BG20" s="20">
        <f>'Raw Data'!DG32/$C20</f>
        <v>0</v>
      </c>
      <c r="BH20" s="20">
        <f>'Raw Data'!DK32/$C20</f>
        <v>1.875</v>
      </c>
      <c r="BI20" s="20">
        <f>'Raw Data'!DS32/$C20</f>
        <v>0.5</v>
      </c>
      <c r="BJ20" s="12">
        <f>'Raw Data'!DP32/$C20</f>
        <v>0</v>
      </c>
      <c r="BK20" s="12">
        <f>'Raw Data'!DH32/$C20</f>
        <v>0.25</v>
      </c>
      <c r="BL20" s="12">
        <f>'Raw Data'!DL32/$C20</f>
        <v>0</v>
      </c>
      <c r="BM20" s="12">
        <f>'Raw Data'!DT32/$C20</f>
        <v>0.5</v>
      </c>
      <c r="BN20" s="22">
        <f>'Raw Data'!DQ32/$C20</f>
        <v>0.875</v>
      </c>
      <c r="BO20" s="22">
        <f>'Raw Data'!DI32/$C20</f>
        <v>0</v>
      </c>
      <c r="BP20" s="22">
        <f>'Raw Data'!DM32/$C20</f>
        <v>0.625</v>
      </c>
      <c r="BQ20" s="22">
        <f>'Raw Data'!DU32/$C20</f>
        <v>0.375</v>
      </c>
      <c r="BR20" s="17">
        <f>'Raw Data'!DR32/$C20</f>
        <v>0.125</v>
      </c>
      <c r="BS20" s="17">
        <f>'Raw Data'!DJ32/$C20</f>
        <v>2.125</v>
      </c>
      <c r="BT20" s="17">
        <f>'Raw Data'!DN32/$C20</f>
        <v>0</v>
      </c>
      <c r="BU20" s="17">
        <f>'Raw Data'!DV32/$C20</f>
        <v>0.125</v>
      </c>
      <c r="BV20" s="12">
        <f>'Raw Data'!EM32</f>
        <v>3.25</v>
      </c>
      <c r="BW20" s="13">
        <f>'Raw Data'!EN32</f>
        <v>0</v>
      </c>
      <c r="BX20" s="13">
        <f>'Raw Data'!CC32</f>
        <v>11</v>
      </c>
      <c r="BY20" s="13">
        <f>SUM(AR20:AS20)</f>
        <v>4.25</v>
      </c>
    </row>
    <row r="21" spans="1:77" x14ac:dyDescent="0.25">
      <c r="A21">
        <f>'Raw Data'!A20</f>
        <v>2403</v>
      </c>
      <c r="B21" t="str">
        <f>'Raw Data'!B20</f>
        <v xml:space="preserve"> Plasma Robotics</v>
      </c>
      <c r="C21">
        <f>'Raw Data'!C20</f>
        <v>10</v>
      </c>
      <c r="E21" s="57">
        <f>IF(_xlfn.IFNA(MATCH(A21,'Center Switch 2'!A:A, 0),0)&gt;0,1,0)</f>
        <v>1</v>
      </c>
      <c r="F21" s="57">
        <f>_xlfn.IFNA(VLOOKUP(A21,'Center Switch 2'!A:G,2,0),0)</f>
        <v>9</v>
      </c>
      <c r="G21" s="57">
        <f>_xlfn.IFNA(VLOOKUP(A21,'Center Switch 2'!A:G,4,0),0)</f>
        <v>17</v>
      </c>
      <c r="H21" s="57">
        <f>_xlfn.IFNA(VLOOKUP(A21,'Center Switch 2'!A:G,5,0),0)</f>
        <v>1.8888888888888888</v>
      </c>
      <c r="I21" s="57">
        <f>_xlfn.IFNA(VLOOKUP(A21,'Center Switch 2'!A:G,6,0),0)</f>
        <v>1</v>
      </c>
      <c r="J21" s="57">
        <f>_xlfn.IFNA(VLOOKUP(A21,'Center Switch 2'!A:G,7,0),0)</f>
        <v>0.1111111111111111</v>
      </c>
      <c r="K21" s="59">
        <f>AP21</f>
        <v>0.1</v>
      </c>
      <c r="L21" s="59">
        <f>AQ21</f>
        <v>0.9</v>
      </c>
      <c r="M21" s="59">
        <f>AS21</f>
        <v>1.4</v>
      </c>
      <c r="N21" s="59">
        <f>2*O21</f>
        <v>5</v>
      </c>
      <c r="O21" s="59">
        <f>AO21</f>
        <v>2.5</v>
      </c>
      <c r="P21" s="59">
        <f>AV21</f>
        <v>5.3</v>
      </c>
      <c r="Q21" s="59">
        <f>AU21</f>
        <v>6.1</v>
      </c>
      <c r="R21" s="59">
        <f>AL21</f>
        <v>4.9000000000000004</v>
      </c>
      <c r="S21" s="61">
        <f>'Raw Data'!CT20</f>
        <v>5.2080000000000002</v>
      </c>
      <c r="T21" s="61">
        <f>'Raw Data'!CR20</f>
        <v>0</v>
      </c>
      <c r="U21" s="61">
        <f>'Raw Data'!CW20</f>
        <v>18</v>
      </c>
      <c r="V21" s="61">
        <f>'Raw Data'!DA20</f>
        <v>8</v>
      </c>
      <c r="W21" s="61">
        <f>BV21</f>
        <v>3.3</v>
      </c>
      <c r="X21" s="39">
        <v>2</v>
      </c>
      <c r="Y21" s="39">
        <v>2.93</v>
      </c>
      <c r="Z21" s="39">
        <v>9</v>
      </c>
      <c r="AA21" s="39" t="s">
        <v>323</v>
      </c>
      <c r="AD21" s="12">
        <f>'Raw Data'!D20</f>
        <v>1</v>
      </c>
      <c r="AE21" s="13">
        <f>'Raw Data'!E20</f>
        <v>9</v>
      </c>
      <c r="AF21" s="13">
        <f>'Raw Data'!F20</f>
        <v>0</v>
      </c>
      <c r="AG21" s="13">
        <f>'Raw Data'!G20</f>
        <v>10</v>
      </c>
      <c r="AH21" s="13">
        <f>'Raw Data'!O20</f>
        <v>19</v>
      </c>
      <c r="AI21" s="13">
        <f>'Raw Data'!T20</f>
        <v>0</v>
      </c>
      <c r="AJ21" s="13">
        <f>'Raw Data'!Y20</f>
        <v>0</v>
      </c>
      <c r="AK21" s="13">
        <f>'Raw Data'!AD20</f>
        <v>0</v>
      </c>
      <c r="AL21" s="22">
        <f>'Raw Data'!BV20</f>
        <v>4.9000000000000004</v>
      </c>
      <c r="AM21" s="15">
        <f>'Raw Data'!BG20</f>
        <v>1</v>
      </c>
      <c r="AN21" s="15">
        <f>'Raw Data'!BL20</f>
        <v>1.5</v>
      </c>
      <c r="AO21" s="15">
        <f>AM21+AN21</f>
        <v>2.5</v>
      </c>
      <c r="AP21" s="15">
        <f>'Raw Data'!AW20</f>
        <v>0.1</v>
      </c>
      <c r="AQ21" s="15">
        <f>'Raw Data'!BB20</f>
        <v>0.9</v>
      </c>
      <c r="AR21" s="15">
        <f>AP21+AQ21</f>
        <v>1</v>
      </c>
      <c r="AS21" s="15">
        <f>'Raw Data'!BQ20</f>
        <v>1.4</v>
      </c>
      <c r="AT21" s="16">
        <f>'Raw Data'!BY20</f>
        <v>0.2</v>
      </c>
      <c r="AU21" s="26">
        <f>'Raw Data'!AI20</f>
        <v>6.1</v>
      </c>
      <c r="AV21" s="27">
        <f>SUM(AX21:AZ21)</f>
        <v>5.3</v>
      </c>
      <c r="AW21" s="27">
        <f>'Raw Data'!AN20</f>
        <v>0.8</v>
      </c>
      <c r="AX21" s="27">
        <f>'Raw Data'!AS20</f>
        <v>1.8</v>
      </c>
      <c r="AY21" s="27">
        <f>'Raw Data'!AU20</f>
        <v>2.2999999999999998</v>
      </c>
      <c r="AZ21" s="27">
        <f>'Raw Data'!AL20</f>
        <v>1.2</v>
      </c>
      <c r="BA21" s="17">
        <f>'Raw Data'!CF20</f>
        <v>75</v>
      </c>
      <c r="BB21" s="18">
        <f>'Raw Data'!CJ20</f>
        <v>1</v>
      </c>
      <c r="BC21" s="18">
        <f>'Raw Data'!CM20</f>
        <v>0</v>
      </c>
      <c r="BD21" s="18">
        <f>'Raw Data'!CO20</f>
        <v>0</v>
      </c>
      <c r="BE21" s="19">
        <f>'Raw Data'!CP20</f>
        <v>2</v>
      </c>
      <c r="BF21" s="20">
        <f>'Raw Data'!DO20/$C21</f>
        <v>0.1</v>
      </c>
      <c r="BG21" s="20">
        <f>'Raw Data'!DG20/$C21</f>
        <v>0.2</v>
      </c>
      <c r="BH21" s="20">
        <f>'Raw Data'!DK20/$C21</f>
        <v>1.7</v>
      </c>
      <c r="BI21" s="20">
        <f>'Raw Data'!DS20/$C21</f>
        <v>0.1</v>
      </c>
      <c r="BJ21" s="12">
        <f>'Raw Data'!DP20/$C21</f>
        <v>0</v>
      </c>
      <c r="BK21" s="12">
        <f>'Raw Data'!DH20/$C21</f>
        <v>0</v>
      </c>
      <c r="BL21" s="12">
        <f>'Raw Data'!DL20/$C21</f>
        <v>0</v>
      </c>
      <c r="BM21" s="12">
        <f>'Raw Data'!DT20/$C21</f>
        <v>0</v>
      </c>
      <c r="BN21" s="22">
        <f>'Raw Data'!DQ20/$C21</f>
        <v>0.2</v>
      </c>
      <c r="BO21" s="22">
        <f>'Raw Data'!DI20/$C21</f>
        <v>0.1</v>
      </c>
      <c r="BP21" s="22">
        <f>'Raw Data'!DM20/$C21</f>
        <v>0.2</v>
      </c>
      <c r="BQ21" s="22">
        <f>'Raw Data'!DU20/$C21</f>
        <v>0.9</v>
      </c>
      <c r="BR21" s="17">
        <f>'Raw Data'!DR20/$C21</f>
        <v>0</v>
      </c>
      <c r="BS21" s="17">
        <f>'Raw Data'!DJ20/$C21</f>
        <v>1.3</v>
      </c>
      <c r="BT21" s="17">
        <f>'Raw Data'!DN20/$C21</f>
        <v>0.1</v>
      </c>
      <c r="BU21" s="17">
        <f>'Raw Data'!DV20/$C21</f>
        <v>0</v>
      </c>
      <c r="BV21" s="12">
        <f>'Raw Data'!EM20</f>
        <v>3.3</v>
      </c>
      <c r="BW21" s="13">
        <f>'Raw Data'!EN20</f>
        <v>2</v>
      </c>
      <c r="BX21" s="13">
        <f>'Raw Data'!CC20</f>
        <v>22</v>
      </c>
      <c r="BY21" s="13">
        <f>SUM(AR21:AS21)</f>
        <v>2.4</v>
      </c>
    </row>
    <row r="22" spans="1:77" x14ac:dyDescent="0.25">
      <c r="A22">
        <f>'Raw Data'!A24</f>
        <v>3128</v>
      </c>
      <c r="B22" t="str">
        <f>'Raw Data'!B24</f>
        <v xml:space="preserve"> Aluminum Narwhals</v>
      </c>
      <c r="C22">
        <f>'Raw Data'!C24</f>
        <v>10</v>
      </c>
      <c r="E22" s="57">
        <f>IF(_xlfn.IFNA(MATCH(A22,'Center Switch 2'!A:A, 0),0)&gt;0,1,0)</f>
        <v>1</v>
      </c>
      <c r="F22" s="57">
        <f>_xlfn.IFNA(VLOOKUP(A22,'Center Switch 2'!A:G,2,0),0)</f>
        <v>9</v>
      </c>
      <c r="G22" s="57">
        <f>_xlfn.IFNA(VLOOKUP(A22,'Center Switch 2'!A:G,4,0),0)</f>
        <v>11</v>
      </c>
      <c r="H22" s="57">
        <f>_xlfn.IFNA(VLOOKUP(A22,'Center Switch 2'!A:G,5,0),0)</f>
        <v>1.2222222222222223</v>
      </c>
      <c r="I22" s="57">
        <f>_xlfn.IFNA(VLOOKUP(A22,'Center Switch 2'!A:G,6,0),0)</f>
        <v>3</v>
      </c>
      <c r="J22" s="57">
        <f>_xlfn.IFNA(VLOOKUP(A22,'Center Switch 2'!A:G,7,0),0)</f>
        <v>0.33333333333333331</v>
      </c>
      <c r="K22" s="59">
        <f>AP22</f>
        <v>0.5</v>
      </c>
      <c r="L22" s="59">
        <f>AQ22</f>
        <v>0.5</v>
      </c>
      <c r="M22" s="59">
        <f>AS22</f>
        <v>1.7</v>
      </c>
      <c r="N22" s="59">
        <f>2*O22</f>
        <v>5.8</v>
      </c>
      <c r="O22" s="59">
        <f>AO22</f>
        <v>2.9</v>
      </c>
      <c r="P22" s="59">
        <f>AV22</f>
        <v>4.7</v>
      </c>
      <c r="Q22" s="59">
        <f>AU22</f>
        <v>5.3</v>
      </c>
      <c r="R22" s="59">
        <f>AL22</f>
        <v>5.6</v>
      </c>
      <c r="S22" s="61">
        <f>'Raw Data'!CT24</f>
        <v>4.3330000000000002</v>
      </c>
      <c r="T22" s="61">
        <f>'Raw Data'!CR24</f>
        <v>2.5</v>
      </c>
      <c r="U22" s="61">
        <f>'Raw Data'!CW24</f>
        <v>4.5</v>
      </c>
      <c r="V22" s="61">
        <f>'Raw Data'!DA24</f>
        <v>0</v>
      </c>
      <c r="W22" s="61">
        <f>BV22</f>
        <v>3.5</v>
      </c>
      <c r="X22" s="39">
        <v>2</v>
      </c>
      <c r="Y22" s="39">
        <v>2.9</v>
      </c>
      <c r="Z22" s="39">
        <v>10</v>
      </c>
      <c r="AA22" s="39" t="s">
        <v>321</v>
      </c>
      <c r="AD22" s="12">
        <f>'Raw Data'!D24</f>
        <v>1</v>
      </c>
      <c r="AE22" s="13">
        <f>'Raw Data'!E24</f>
        <v>9</v>
      </c>
      <c r="AF22" s="13">
        <f>'Raw Data'!F24</f>
        <v>0</v>
      </c>
      <c r="AG22" s="13">
        <f>'Raw Data'!G24</f>
        <v>9</v>
      </c>
      <c r="AH22" s="13">
        <f>'Raw Data'!O24</f>
        <v>12</v>
      </c>
      <c r="AI22" s="13">
        <f>'Raw Data'!T24</f>
        <v>0</v>
      </c>
      <c r="AJ22" s="13">
        <f>'Raw Data'!Y24</f>
        <v>0</v>
      </c>
      <c r="AK22" s="13">
        <f>'Raw Data'!AD24</f>
        <v>0</v>
      </c>
      <c r="AL22" s="22">
        <f>'Raw Data'!BV24</f>
        <v>5.6</v>
      </c>
      <c r="AM22" s="15">
        <f>'Raw Data'!BG24</f>
        <v>1.5</v>
      </c>
      <c r="AN22" s="15">
        <f>'Raw Data'!BL24</f>
        <v>1.4</v>
      </c>
      <c r="AO22" s="15">
        <f>AM22+AN22</f>
        <v>2.9</v>
      </c>
      <c r="AP22" s="15">
        <f>'Raw Data'!AW24</f>
        <v>0.5</v>
      </c>
      <c r="AQ22" s="15">
        <f>'Raw Data'!BB24</f>
        <v>0.5</v>
      </c>
      <c r="AR22" s="15">
        <f>AP22+AQ22</f>
        <v>1</v>
      </c>
      <c r="AS22" s="15">
        <f>'Raw Data'!BQ24</f>
        <v>1.7</v>
      </c>
      <c r="AT22" s="16">
        <f>'Raw Data'!BY24</f>
        <v>0.3</v>
      </c>
      <c r="AU22" s="26">
        <f>'Raw Data'!AI24</f>
        <v>5.3</v>
      </c>
      <c r="AV22" s="27">
        <f>SUM(AX22:AZ22)</f>
        <v>4.7</v>
      </c>
      <c r="AW22" s="27">
        <f>'Raw Data'!AN24</f>
        <v>0.6</v>
      </c>
      <c r="AX22" s="27">
        <f>'Raw Data'!AS24</f>
        <v>1.7</v>
      </c>
      <c r="AY22" s="27">
        <f>'Raw Data'!AU24</f>
        <v>2</v>
      </c>
      <c r="AZ22" s="27">
        <f>'Raw Data'!AL24</f>
        <v>1</v>
      </c>
      <c r="BA22" s="17">
        <f>'Raw Data'!CF24</f>
        <v>100</v>
      </c>
      <c r="BB22" s="18">
        <f>'Raw Data'!CJ24</f>
        <v>2</v>
      </c>
      <c r="BC22" s="18">
        <f>'Raw Data'!CM24</f>
        <v>0</v>
      </c>
      <c r="BD22" s="18">
        <f>'Raw Data'!CO24</f>
        <v>0</v>
      </c>
      <c r="BE22" s="19">
        <f>'Raw Data'!CP24</f>
        <v>1</v>
      </c>
      <c r="BF22" s="20">
        <f>'Raw Data'!DO24/$C22</f>
        <v>0.3</v>
      </c>
      <c r="BG22" s="20">
        <f>'Raw Data'!DG24/$C22</f>
        <v>0.1</v>
      </c>
      <c r="BH22" s="20">
        <f>'Raw Data'!DK24/$C22</f>
        <v>2.2999999999999998</v>
      </c>
      <c r="BI22" s="20">
        <f>'Raw Data'!DS24/$C22</f>
        <v>1.1000000000000001</v>
      </c>
      <c r="BJ22" s="12">
        <f>'Raw Data'!DP24/$C22</f>
        <v>0</v>
      </c>
      <c r="BK22" s="12">
        <f>'Raw Data'!DH24/$C22</f>
        <v>0.2</v>
      </c>
      <c r="BL22" s="12">
        <f>'Raw Data'!DL24/$C22</f>
        <v>0.1</v>
      </c>
      <c r="BM22" s="12">
        <f>'Raw Data'!DT24/$C22</f>
        <v>0</v>
      </c>
      <c r="BN22" s="22">
        <f>'Raw Data'!DQ24/$C22</f>
        <v>0</v>
      </c>
      <c r="BO22" s="22">
        <f>'Raw Data'!DI24/$C22</f>
        <v>0.1</v>
      </c>
      <c r="BP22" s="22">
        <f>'Raw Data'!DM24/$C22</f>
        <v>0.2</v>
      </c>
      <c r="BQ22" s="22">
        <f>'Raw Data'!DU24/$C22</f>
        <v>0.2</v>
      </c>
      <c r="BR22" s="17">
        <f>'Raw Data'!DR24/$C22</f>
        <v>0</v>
      </c>
      <c r="BS22" s="17">
        <f>'Raw Data'!DJ24/$C22</f>
        <v>1.6</v>
      </c>
      <c r="BT22" s="17">
        <f>'Raw Data'!DN24/$C22</f>
        <v>0</v>
      </c>
      <c r="BU22" s="17">
        <f>'Raw Data'!DV24/$C22</f>
        <v>0.1</v>
      </c>
      <c r="BV22" s="12">
        <f>'Raw Data'!EM24</f>
        <v>3.5</v>
      </c>
      <c r="BW22" s="13">
        <f>'Raw Data'!EN24</f>
        <v>2</v>
      </c>
      <c r="BX22" s="13">
        <f>'Raw Data'!CC24</f>
        <v>11</v>
      </c>
      <c r="BY22" s="13">
        <f>SUM(AR22:AS22)</f>
        <v>2.7</v>
      </c>
    </row>
    <row r="23" spans="1:77" x14ac:dyDescent="0.25">
      <c r="A23">
        <f>'Raw Data'!A18</f>
        <v>1982</v>
      </c>
      <c r="B23" t="str">
        <f>'Raw Data'!B18</f>
        <v xml:space="preserve"> Cougar Robotics</v>
      </c>
      <c r="C23">
        <f>'Raw Data'!C18</f>
        <v>10</v>
      </c>
      <c r="E23" s="57">
        <f>IF(_xlfn.IFNA(MATCH(A23,'Center Switch 2'!A:A, 0),0)&gt;0,1,0)</f>
        <v>1</v>
      </c>
      <c r="F23" s="57">
        <f>_xlfn.IFNA(VLOOKUP(A23,'Center Switch 2'!A:G,2,0),0)</f>
        <v>7</v>
      </c>
      <c r="G23" s="57">
        <f>_xlfn.IFNA(VLOOKUP(A23,'Center Switch 2'!A:G,4,0),0)</f>
        <v>6</v>
      </c>
      <c r="H23" s="57">
        <f>_xlfn.IFNA(VLOOKUP(A23,'Center Switch 2'!A:G,5,0),0)</f>
        <v>1</v>
      </c>
      <c r="I23" s="57">
        <f>_xlfn.IFNA(VLOOKUP(A23,'Center Switch 2'!A:G,6,0),0)</f>
        <v>0</v>
      </c>
      <c r="J23" s="57">
        <f>_xlfn.IFNA(VLOOKUP(A23,'Center Switch 2'!A:G,7,0),0)</f>
        <v>0</v>
      </c>
      <c r="K23" s="59">
        <f>AP23</f>
        <v>0.2</v>
      </c>
      <c r="L23" s="59">
        <f>AQ23</f>
        <v>1.3</v>
      </c>
      <c r="M23" s="59">
        <f>AS23</f>
        <v>1.3</v>
      </c>
      <c r="N23" s="59">
        <f>2*O23</f>
        <v>6.8</v>
      </c>
      <c r="O23" s="59">
        <f>AO23</f>
        <v>3.4</v>
      </c>
      <c r="P23" s="59">
        <f>AV23</f>
        <v>6.3000000000000007</v>
      </c>
      <c r="Q23" s="59">
        <f>AU23</f>
        <v>7</v>
      </c>
      <c r="R23" s="59">
        <f>AL23</f>
        <v>6.2</v>
      </c>
      <c r="S23" s="61">
        <f>'Raw Data'!CT18</f>
        <v>4.1429999999999998</v>
      </c>
      <c r="T23" s="61">
        <f>'Raw Data'!CR18</f>
        <v>4</v>
      </c>
      <c r="U23" s="61">
        <f>'Raw Data'!CW18</f>
        <v>10</v>
      </c>
      <c r="V23" s="61">
        <f>'Raw Data'!DA18</f>
        <v>7.7670000000000003</v>
      </c>
      <c r="W23" s="61">
        <f>BV23</f>
        <v>3.5</v>
      </c>
      <c r="X23" s="39">
        <v>2</v>
      </c>
      <c r="Y23" s="39">
        <v>2.5</v>
      </c>
      <c r="Z23" s="39">
        <v>11</v>
      </c>
      <c r="AA23" s="39" t="s">
        <v>322</v>
      </c>
      <c r="AD23" s="12">
        <f>'Raw Data'!D18</f>
        <v>2</v>
      </c>
      <c r="AE23" s="13">
        <f>'Raw Data'!E18</f>
        <v>7</v>
      </c>
      <c r="AF23" s="13">
        <f>'Raw Data'!F18</f>
        <v>1</v>
      </c>
      <c r="AG23" s="13">
        <f>'Raw Data'!G18</f>
        <v>10</v>
      </c>
      <c r="AH23" s="13">
        <f>'Raw Data'!O18</f>
        <v>6</v>
      </c>
      <c r="AI23" s="13">
        <f>'Raw Data'!T18</f>
        <v>0</v>
      </c>
      <c r="AJ23" s="13">
        <f>'Raw Data'!Y18</f>
        <v>0</v>
      </c>
      <c r="AK23" s="13">
        <f>'Raw Data'!AD18</f>
        <v>0</v>
      </c>
      <c r="AL23" s="22">
        <f>'Raw Data'!BV18</f>
        <v>6.2</v>
      </c>
      <c r="AM23" s="15">
        <f>'Raw Data'!BG18</f>
        <v>1.9</v>
      </c>
      <c r="AN23" s="15">
        <f>'Raw Data'!BL18</f>
        <v>1.5</v>
      </c>
      <c r="AO23" s="15">
        <f>AM23+AN23</f>
        <v>3.4</v>
      </c>
      <c r="AP23" s="15">
        <f>'Raw Data'!AW18</f>
        <v>0.2</v>
      </c>
      <c r="AQ23" s="15">
        <f>'Raw Data'!BB18</f>
        <v>1.3</v>
      </c>
      <c r="AR23" s="15">
        <f>AP23+AQ23</f>
        <v>1.5</v>
      </c>
      <c r="AS23" s="15">
        <f>'Raw Data'!BQ18</f>
        <v>1.3</v>
      </c>
      <c r="AT23" s="16">
        <f>'Raw Data'!BY18</f>
        <v>0.1</v>
      </c>
      <c r="AU23" s="26">
        <f>'Raw Data'!AI18</f>
        <v>7</v>
      </c>
      <c r="AV23" s="27">
        <f>SUM(AX23:AZ23)</f>
        <v>6.3000000000000007</v>
      </c>
      <c r="AW23" s="27">
        <f>'Raw Data'!AN18</f>
        <v>0.7</v>
      </c>
      <c r="AX23" s="27">
        <f>'Raw Data'!AS18</f>
        <v>2</v>
      </c>
      <c r="AY23" s="27">
        <f>'Raw Data'!AU18</f>
        <v>1.7</v>
      </c>
      <c r="AZ23" s="27">
        <f>'Raw Data'!AL18</f>
        <v>2.6</v>
      </c>
      <c r="BA23" s="17">
        <f>'Raw Data'!CF18</f>
        <v>0</v>
      </c>
      <c r="BB23" s="18">
        <f>'Raw Data'!CJ18</f>
        <v>0</v>
      </c>
      <c r="BC23" s="18">
        <f>'Raw Data'!CM18</f>
        <v>0</v>
      </c>
      <c r="BD23" s="18">
        <f>'Raw Data'!CO18</f>
        <v>0</v>
      </c>
      <c r="BE23" s="19">
        <f>'Raw Data'!CP18</f>
        <v>1</v>
      </c>
      <c r="BF23" s="20">
        <f>'Raw Data'!DO18/$C23</f>
        <v>0</v>
      </c>
      <c r="BG23" s="20">
        <f>'Raw Data'!DG18/$C23</f>
        <v>0.5</v>
      </c>
      <c r="BH23" s="20">
        <f>'Raw Data'!DK18/$C23</f>
        <v>1.3</v>
      </c>
      <c r="BI23" s="20">
        <f>'Raw Data'!DS18/$C23</f>
        <v>1.5</v>
      </c>
      <c r="BJ23" s="12">
        <f>'Raw Data'!DP18/$C23</f>
        <v>0</v>
      </c>
      <c r="BK23" s="12">
        <f>'Raw Data'!DH18/$C23</f>
        <v>0.1</v>
      </c>
      <c r="BL23" s="12">
        <f>'Raw Data'!DL18/$C23</f>
        <v>0</v>
      </c>
      <c r="BM23" s="12">
        <f>'Raw Data'!DT18/$C23</f>
        <v>0</v>
      </c>
      <c r="BN23" s="22">
        <f>'Raw Data'!DQ18/$C23</f>
        <v>1</v>
      </c>
      <c r="BO23" s="22">
        <f>'Raw Data'!DI18/$C23</f>
        <v>0.1</v>
      </c>
      <c r="BP23" s="22">
        <f>'Raw Data'!DM18/$C23</f>
        <v>0.2</v>
      </c>
      <c r="BQ23" s="22">
        <f>'Raw Data'!DU18/$C23</f>
        <v>0.1</v>
      </c>
      <c r="BR23" s="17">
        <f>'Raw Data'!DR18/$C23</f>
        <v>0</v>
      </c>
      <c r="BS23" s="17">
        <f>'Raw Data'!DJ18/$C23</f>
        <v>0.7</v>
      </c>
      <c r="BT23" s="17">
        <f>'Raw Data'!DN18/$C23</f>
        <v>0</v>
      </c>
      <c r="BU23" s="17">
        <f>'Raw Data'!DV18/$C23</f>
        <v>0</v>
      </c>
      <c r="BV23" s="12">
        <f>'Raw Data'!EM18</f>
        <v>3.5</v>
      </c>
      <c r="BW23" s="13">
        <f>'Raw Data'!EN18</f>
        <v>2</v>
      </c>
      <c r="BX23" s="13">
        <f>'Raw Data'!CC18</f>
        <v>22</v>
      </c>
      <c r="BY23" s="13">
        <f>SUM(AR23:AS23)</f>
        <v>2.8</v>
      </c>
    </row>
    <row r="24" spans="1:77" x14ac:dyDescent="0.25">
      <c r="A24">
        <f>'Raw Data'!A16</f>
        <v>1723</v>
      </c>
      <c r="B24" t="str">
        <f>'Raw Data'!B16</f>
        <v xml:space="preserve"> The FBI - FIRST Bots of Independence</v>
      </c>
      <c r="C24">
        <f>'Raw Data'!C16</f>
        <v>10</v>
      </c>
      <c r="E24" s="57">
        <f>IF(_xlfn.IFNA(MATCH(A24,'Center Switch 2'!A:A, 0),0)&gt;0,1,0)</f>
        <v>1</v>
      </c>
      <c r="F24" s="57">
        <f>_xlfn.IFNA(VLOOKUP(A24,'Center Switch 2'!A:G,2,0),0)</f>
        <v>4</v>
      </c>
      <c r="G24" s="57">
        <f>_xlfn.IFNA(VLOOKUP(A24,'Center Switch 2'!A:G,4,0),0)</f>
        <v>4</v>
      </c>
      <c r="H24" s="57">
        <f>_xlfn.IFNA(VLOOKUP(A24,'Center Switch 2'!A:G,5,0),0)</f>
        <v>1</v>
      </c>
      <c r="I24" s="57">
        <f>_xlfn.IFNA(VLOOKUP(A24,'Center Switch 2'!A:G,6,0),0)</f>
        <v>1</v>
      </c>
      <c r="J24" s="57">
        <f>_xlfn.IFNA(VLOOKUP(A24,'Center Switch 2'!A:G,7,0),0)</f>
        <v>0.25</v>
      </c>
      <c r="K24" s="59">
        <f>AP24</f>
        <v>0.6</v>
      </c>
      <c r="L24" s="59">
        <f>AQ24</f>
        <v>0.9</v>
      </c>
      <c r="M24" s="59">
        <f>AS24</f>
        <v>0.4</v>
      </c>
      <c r="N24" s="59">
        <f>2*O24</f>
        <v>6.6</v>
      </c>
      <c r="O24" s="59">
        <f>AO24</f>
        <v>3.3</v>
      </c>
      <c r="P24" s="59">
        <f>AV24</f>
        <v>5.5</v>
      </c>
      <c r="Q24" s="59">
        <f>AU24</f>
        <v>6.2</v>
      </c>
      <c r="R24" s="59">
        <f>AL24</f>
        <v>5.2</v>
      </c>
      <c r="S24" s="61">
        <f>'Raw Data'!CT16</f>
        <v>5</v>
      </c>
      <c r="T24" s="61">
        <f>'Raw Data'!CR16</f>
        <v>3</v>
      </c>
      <c r="U24" s="61">
        <f>'Raw Data'!CW16</f>
        <v>5.3339999999999996</v>
      </c>
      <c r="V24" s="61">
        <f>'Raw Data'!DA16</f>
        <v>0</v>
      </c>
      <c r="W24" s="61">
        <f>BV24</f>
        <v>3.5</v>
      </c>
      <c r="X24" s="39">
        <v>2</v>
      </c>
      <c r="Y24" s="39">
        <v>2.92</v>
      </c>
      <c r="Z24" s="39">
        <v>12</v>
      </c>
      <c r="AA24" s="39" t="s">
        <v>324</v>
      </c>
      <c r="AD24" s="12">
        <f>'Raw Data'!D16</f>
        <v>4</v>
      </c>
      <c r="AE24" s="13">
        <f>'Raw Data'!E16</f>
        <v>4</v>
      </c>
      <c r="AF24" s="13">
        <f>'Raw Data'!F16</f>
        <v>2</v>
      </c>
      <c r="AG24" s="13">
        <f>'Raw Data'!G16</f>
        <v>10</v>
      </c>
      <c r="AH24" s="13">
        <f>'Raw Data'!O16</f>
        <v>5</v>
      </c>
      <c r="AI24" s="13">
        <f>'Raw Data'!T16</f>
        <v>1</v>
      </c>
      <c r="AJ24" s="13">
        <f>'Raw Data'!Y16</f>
        <v>0</v>
      </c>
      <c r="AK24" s="13">
        <f>'Raw Data'!AD16</f>
        <v>0</v>
      </c>
      <c r="AL24" s="22">
        <f>'Raw Data'!BV16</f>
        <v>5.2</v>
      </c>
      <c r="AM24" s="15">
        <f>'Raw Data'!BG16</f>
        <v>1.5</v>
      </c>
      <c r="AN24" s="15">
        <f>'Raw Data'!BL16</f>
        <v>1.8</v>
      </c>
      <c r="AO24" s="15">
        <f>AM24+AN24</f>
        <v>3.3</v>
      </c>
      <c r="AP24" s="15">
        <f>'Raw Data'!AW16</f>
        <v>0.6</v>
      </c>
      <c r="AQ24" s="15">
        <f>'Raw Data'!BB16</f>
        <v>0.9</v>
      </c>
      <c r="AR24" s="15">
        <f>AP24+AQ24</f>
        <v>1.5</v>
      </c>
      <c r="AS24" s="15">
        <f>'Raw Data'!BQ16</f>
        <v>0.4</v>
      </c>
      <c r="AT24" s="16">
        <f>'Raw Data'!BY16</f>
        <v>0.7</v>
      </c>
      <c r="AU24" s="26">
        <f>'Raw Data'!AI16</f>
        <v>6.2</v>
      </c>
      <c r="AV24" s="27">
        <f>SUM(AX24:AZ24)</f>
        <v>5.5</v>
      </c>
      <c r="AW24" s="27">
        <f>'Raw Data'!AN16</f>
        <v>0.7</v>
      </c>
      <c r="AX24" s="27">
        <f>'Raw Data'!AS16</f>
        <v>0.6</v>
      </c>
      <c r="AY24" s="27">
        <f>'Raw Data'!AU16</f>
        <v>3</v>
      </c>
      <c r="AZ24" s="27">
        <f>'Raw Data'!AL16</f>
        <v>1.9</v>
      </c>
      <c r="BA24" s="17">
        <f>'Raw Data'!CF16</f>
        <v>100</v>
      </c>
      <c r="BB24" s="18">
        <f>'Raw Data'!CJ16</f>
        <v>0</v>
      </c>
      <c r="BC24" s="18">
        <f>'Raw Data'!CM16</f>
        <v>0</v>
      </c>
      <c r="BD24" s="18">
        <f>'Raw Data'!CO16</f>
        <v>0</v>
      </c>
      <c r="BE24" s="19">
        <f>'Raw Data'!CP16</f>
        <v>0</v>
      </c>
      <c r="BF24" s="20">
        <f>'Raw Data'!DO16/$C24</f>
        <v>0.3</v>
      </c>
      <c r="BG24" s="20">
        <f>'Raw Data'!DG16/$C24</f>
        <v>0.4</v>
      </c>
      <c r="BH24" s="20">
        <f>'Raw Data'!DK16/$C24</f>
        <v>2</v>
      </c>
      <c r="BI24" s="20">
        <f>'Raw Data'!DS16/$C24</f>
        <v>0.6</v>
      </c>
      <c r="BJ24" s="12">
        <f>'Raw Data'!DP16/$C24</f>
        <v>0</v>
      </c>
      <c r="BK24" s="12">
        <f>'Raw Data'!DH16/$C24</f>
        <v>0.1</v>
      </c>
      <c r="BL24" s="12">
        <f>'Raw Data'!DL16/$C24</f>
        <v>0.3</v>
      </c>
      <c r="BM24" s="12">
        <f>'Raw Data'!DT16/$C24</f>
        <v>0.2</v>
      </c>
      <c r="BN24" s="22">
        <f>'Raw Data'!DQ16/$C24</f>
        <v>0</v>
      </c>
      <c r="BO24" s="22">
        <f>'Raw Data'!DI16/$C24</f>
        <v>0</v>
      </c>
      <c r="BP24" s="22">
        <f>'Raw Data'!DM16/$C24</f>
        <v>0.4</v>
      </c>
      <c r="BQ24" s="22">
        <f>'Raw Data'!DU16/$C24</f>
        <v>0.5</v>
      </c>
      <c r="BR24" s="17">
        <f>'Raw Data'!DR16/$C24</f>
        <v>0</v>
      </c>
      <c r="BS24" s="17">
        <f>'Raw Data'!DJ16/$C24</f>
        <v>0.1</v>
      </c>
      <c r="BT24" s="17">
        <f>'Raw Data'!DN16/$C24</f>
        <v>0.2</v>
      </c>
      <c r="BU24" s="17">
        <f>'Raw Data'!DV16/$C24</f>
        <v>0.2</v>
      </c>
      <c r="BV24" s="12">
        <f>'Raw Data'!EM16</f>
        <v>3.5</v>
      </c>
      <c r="BW24" s="13">
        <f>'Raw Data'!EN16</f>
        <v>2</v>
      </c>
      <c r="BX24" s="13">
        <f>'Raw Data'!CC16</f>
        <v>22</v>
      </c>
      <c r="BY24" s="13">
        <f>SUM(AR24:AS24)</f>
        <v>1.9</v>
      </c>
    </row>
    <row r="25" spans="1:77" x14ac:dyDescent="0.25">
      <c r="A25" s="39">
        <f>'Raw Data'!A55</f>
        <v>6474</v>
      </c>
      <c r="B25" s="39" t="str">
        <f>'Raw Data'!B55</f>
        <v xml:space="preserve"> Armijo Robotics</v>
      </c>
      <c r="C25" s="39">
        <f>'Raw Data'!C55</f>
        <v>9</v>
      </c>
      <c r="E25" s="57">
        <f>IF(_xlfn.IFNA(MATCH(A25,'Center Switch 2'!A:A, 0),0)&gt;0,1,0)</f>
        <v>1</v>
      </c>
      <c r="F25" s="57">
        <f>_xlfn.IFNA(VLOOKUP(A25,'Center Switch 2'!A:G,2,0),0)</f>
        <v>3</v>
      </c>
      <c r="G25" s="57">
        <f>_xlfn.IFNA(VLOOKUP(A25,'Center Switch 2'!A:G,4,0),0)</f>
        <v>3</v>
      </c>
      <c r="H25" s="57">
        <f>_xlfn.IFNA(VLOOKUP(A25,'Center Switch 2'!A:G,5,0),0)</f>
        <v>1</v>
      </c>
      <c r="I25" s="57">
        <f>_xlfn.IFNA(VLOOKUP(A25,'Center Switch 2'!A:G,6,0),0)</f>
        <v>0</v>
      </c>
      <c r="J25" s="57">
        <f>_xlfn.IFNA(VLOOKUP(A25,'Center Switch 2'!A:G,7,0),0)</f>
        <v>0</v>
      </c>
      <c r="K25" s="59">
        <f>AP25</f>
        <v>0.66700000000000004</v>
      </c>
      <c r="L25" s="59">
        <f>AQ25</f>
        <v>0.44400000000000001</v>
      </c>
      <c r="M25" s="59">
        <f>AS25</f>
        <v>1.667</v>
      </c>
      <c r="N25" s="59">
        <f>2*O25</f>
        <v>6.2219999999999995</v>
      </c>
      <c r="O25" s="59">
        <f>AO25</f>
        <v>3.1109999999999998</v>
      </c>
      <c r="P25" s="59">
        <f>AV25</f>
        <v>5</v>
      </c>
      <c r="Q25" s="59">
        <f>AU25</f>
        <v>5.1109999999999998</v>
      </c>
      <c r="R25" s="59">
        <f>AL25</f>
        <v>5.8890000000000002</v>
      </c>
      <c r="S25" s="61">
        <f>'Raw Data'!CT55</f>
        <v>3.3340000000000001</v>
      </c>
      <c r="T25" s="61">
        <f>'Raw Data'!CR55</f>
        <v>3.5</v>
      </c>
      <c r="U25" s="61">
        <f>'Raw Data'!CW55</f>
        <v>0</v>
      </c>
      <c r="V25" s="61">
        <f>'Raw Data'!DA55</f>
        <v>0</v>
      </c>
      <c r="W25" s="61">
        <f>BV25</f>
        <v>2.8889999999999998</v>
      </c>
      <c r="X25" s="39">
        <v>2</v>
      </c>
      <c r="Y25" s="39">
        <v>2.7</v>
      </c>
      <c r="Z25" s="39">
        <v>13</v>
      </c>
      <c r="AA25" s="39" t="s">
        <v>321</v>
      </c>
      <c r="AD25" s="12">
        <f>'Raw Data'!D55</f>
        <v>5</v>
      </c>
      <c r="AE25" s="13">
        <f>'Raw Data'!E55</f>
        <v>3</v>
      </c>
      <c r="AF25" s="13">
        <f>'Raw Data'!F55</f>
        <v>1</v>
      </c>
      <c r="AG25" s="13">
        <f>'Raw Data'!G55</f>
        <v>9</v>
      </c>
      <c r="AH25" s="13">
        <f>'Raw Data'!O55</f>
        <v>3</v>
      </c>
      <c r="AI25" s="13">
        <f>'Raw Data'!T55</f>
        <v>2</v>
      </c>
      <c r="AJ25" s="13">
        <f>'Raw Data'!Y55</f>
        <v>0</v>
      </c>
      <c r="AK25" s="13">
        <f>'Raw Data'!AD55</f>
        <v>0</v>
      </c>
      <c r="AL25" s="22">
        <f>'Raw Data'!BV55</f>
        <v>5.8890000000000002</v>
      </c>
      <c r="AM25" s="15">
        <f>'Raw Data'!BG55</f>
        <v>0.88900000000000001</v>
      </c>
      <c r="AN25" s="15">
        <f>'Raw Data'!BL55</f>
        <v>2.222</v>
      </c>
      <c r="AO25" s="15">
        <f>AM25+AN25</f>
        <v>3.1109999999999998</v>
      </c>
      <c r="AP25" s="15">
        <f>'Raw Data'!AW55</f>
        <v>0.66700000000000004</v>
      </c>
      <c r="AQ25" s="15">
        <f>'Raw Data'!BB55</f>
        <v>0.44400000000000001</v>
      </c>
      <c r="AR25" s="15">
        <f>AP25+AQ25</f>
        <v>1.111</v>
      </c>
      <c r="AS25" s="15">
        <f>'Raw Data'!BQ55</f>
        <v>1.667</v>
      </c>
      <c r="AT25" s="16">
        <f>'Raw Data'!BY55</f>
        <v>0.111</v>
      </c>
      <c r="AU25" s="26">
        <f>'Raw Data'!AI55</f>
        <v>5.1109999999999998</v>
      </c>
      <c r="AV25" s="27">
        <f>SUM(AX25:AZ25)</f>
        <v>5</v>
      </c>
      <c r="AW25" s="27">
        <f>'Raw Data'!AN55</f>
        <v>0.111</v>
      </c>
      <c r="AX25" s="27">
        <f>'Raw Data'!AS55</f>
        <v>1.556</v>
      </c>
      <c r="AY25" s="27">
        <f>'Raw Data'!AU55</f>
        <v>2.444</v>
      </c>
      <c r="AZ25" s="27">
        <f>'Raw Data'!AL55</f>
        <v>1</v>
      </c>
      <c r="BA25" s="17">
        <f>'Raw Data'!CF55</f>
        <v>100</v>
      </c>
      <c r="BB25" s="18">
        <f>'Raw Data'!CJ55</f>
        <v>0</v>
      </c>
      <c r="BC25" s="18">
        <f>'Raw Data'!CM55</f>
        <v>0</v>
      </c>
      <c r="BD25" s="18">
        <f>'Raw Data'!CO55</f>
        <v>0</v>
      </c>
      <c r="BE25" s="19">
        <f>'Raw Data'!CP55</f>
        <v>1</v>
      </c>
      <c r="BF25" s="20">
        <f>'Raw Data'!DO55/$C25</f>
        <v>0.1111111111111111</v>
      </c>
      <c r="BG25" s="20">
        <f>'Raw Data'!DG55/$C25</f>
        <v>0.33333333333333331</v>
      </c>
      <c r="BH25" s="20">
        <f>'Raw Data'!DK55/$C25</f>
        <v>2.3333333333333335</v>
      </c>
      <c r="BI25" s="20">
        <f>'Raw Data'!DS55/$C25</f>
        <v>0.55555555555555558</v>
      </c>
      <c r="BJ25" s="12">
        <f>'Raw Data'!DP55/$C25</f>
        <v>0</v>
      </c>
      <c r="BK25" s="12">
        <f>'Raw Data'!DH55/$C25</f>
        <v>0.22222222222222221</v>
      </c>
      <c r="BL25" s="12">
        <f>'Raw Data'!DL55/$C25</f>
        <v>0</v>
      </c>
      <c r="BM25" s="12">
        <f>'Raw Data'!DT55/$C25</f>
        <v>0</v>
      </c>
      <c r="BN25" s="22">
        <f>'Raw Data'!DQ55/$C25</f>
        <v>0</v>
      </c>
      <c r="BO25" s="22">
        <f>'Raw Data'!DI55/$C25</f>
        <v>0</v>
      </c>
      <c r="BP25" s="22">
        <f>'Raw Data'!DM55/$C25</f>
        <v>0</v>
      </c>
      <c r="BQ25" s="22">
        <f>'Raw Data'!DU55/$C25</f>
        <v>0</v>
      </c>
      <c r="BR25" s="17">
        <f>'Raw Data'!DR55/$C25</f>
        <v>0</v>
      </c>
      <c r="BS25" s="17">
        <f>'Raw Data'!DJ55/$C25</f>
        <v>0.77777777777777779</v>
      </c>
      <c r="BT25" s="17">
        <f>'Raw Data'!DN55/$C25</f>
        <v>0</v>
      </c>
      <c r="BU25" s="17">
        <f>'Raw Data'!DV55/$C25</f>
        <v>0.22222222222222221</v>
      </c>
      <c r="BV25" s="12">
        <f>'Raw Data'!EM55</f>
        <v>2.8889999999999998</v>
      </c>
      <c r="BW25" s="13">
        <f>'Raw Data'!EN55</f>
        <v>0</v>
      </c>
      <c r="BX25" s="13">
        <f>'Raw Data'!CC55</f>
        <v>11</v>
      </c>
      <c r="BY25" s="13">
        <f>SUM(AR25:AS25)</f>
        <v>2.778</v>
      </c>
    </row>
    <row r="26" spans="1:77" x14ac:dyDescent="0.25">
      <c r="A26" s="67">
        <f>'Raw Data'!A27</f>
        <v>3164</v>
      </c>
      <c r="B26" s="67" t="str">
        <f>'Raw Data'!B27</f>
        <v xml:space="preserve"> Stealth Tigers</v>
      </c>
      <c r="C26" s="67">
        <f>'Raw Data'!C27</f>
        <v>10</v>
      </c>
      <c r="D26" s="67"/>
      <c r="E26" s="68">
        <f>IF(_xlfn.IFNA(MATCH(A26,'Center Switch 2'!A:A, 0),0)&gt;0,1,0)</f>
        <v>1</v>
      </c>
      <c r="F26" s="68">
        <f>_xlfn.IFNA(VLOOKUP(A26,'Center Switch 2'!A:G,2,0),0)</f>
        <v>2</v>
      </c>
      <c r="G26" s="68">
        <f>_xlfn.IFNA(VLOOKUP(A26,'Center Switch 2'!A:G,4,0),0)</f>
        <v>1</v>
      </c>
      <c r="H26" s="68">
        <f>_xlfn.IFNA(VLOOKUP(A26,'Center Switch 2'!A:G,5,0),0)</f>
        <v>1</v>
      </c>
      <c r="I26" s="68">
        <f>_xlfn.IFNA(VLOOKUP(A26,'Center Switch 2'!A:G,6,0),0)</f>
        <v>0</v>
      </c>
      <c r="J26" s="68">
        <f>_xlfn.IFNA(VLOOKUP(A26,'Center Switch 2'!A:G,7,0),0)</f>
        <v>0</v>
      </c>
      <c r="K26" s="69">
        <f>AP26</f>
        <v>1.1000000000000001</v>
      </c>
      <c r="L26" s="69">
        <f>AQ26</f>
        <v>5.0999999999999996</v>
      </c>
      <c r="M26" s="69">
        <f>AS26</f>
        <v>0.1</v>
      </c>
      <c r="N26" s="69">
        <f>2*O26</f>
        <v>0.2</v>
      </c>
      <c r="O26" s="69">
        <f>AO26</f>
        <v>0.1</v>
      </c>
      <c r="P26" s="69">
        <f>AV26</f>
        <v>6.6</v>
      </c>
      <c r="Q26" s="69">
        <f>AU26</f>
        <v>7.6</v>
      </c>
      <c r="R26" s="69">
        <f>AL26</f>
        <v>6.4</v>
      </c>
      <c r="S26" s="70">
        <f>'Raw Data'!CT27</f>
        <v>6</v>
      </c>
      <c r="T26" s="70">
        <f>'Raw Data'!CR27</f>
        <v>2.5</v>
      </c>
      <c r="U26" s="70">
        <f>'Raw Data'!CW27</f>
        <v>4.3849999999999998</v>
      </c>
      <c r="V26" s="70">
        <f>'Raw Data'!DA27</f>
        <v>5.7670000000000003</v>
      </c>
      <c r="W26" s="70">
        <f>BV26</f>
        <v>3</v>
      </c>
      <c r="X26" s="67">
        <v>1</v>
      </c>
      <c r="Y26" s="67">
        <v>1.8</v>
      </c>
      <c r="Z26" s="39">
        <v>14</v>
      </c>
      <c r="AA26" s="39" t="s">
        <v>325</v>
      </c>
      <c r="AD26" s="12">
        <f>'Raw Data'!D27</f>
        <v>3</v>
      </c>
      <c r="AE26" s="13">
        <f>'Raw Data'!E27</f>
        <v>2</v>
      </c>
      <c r="AF26" s="13">
        <f>'Raw Data'!F27</f>
        <v>5</v>
      </c>
      <c r="AG26" s="13">
        <f>'Raw Data'!G27</f>
        <v>10</v>
      </c>
      <c r="AH26" s="13">
        <f>'Raw Data'!O27</f>
        <v>3</v>
      </c>
      <c r="AI26" s="13">
        <f>'Raw Data'!T27</f>
        <v>0</v>
      </c>
      <c r="AJ26" s="13">
        <f>'Raw Data'!Y27</f>
        <v>0</v>
      </c>
      <c r="AK26" s="13">
        <f>'Raw Data'!AD27</f>
        <v>0</v>
      </c>
      <c r="AL26" s="22">
        <f>'Raw Data'!BV27</f>
        <v>6.4</v>
      </c>
      <c r="AM26" s="15">
        <f>'Raw Data'!BG27</f>
        <v>0</v>
      </c>
      <c r="AN26" s="15">
        <f>'Raw Data'!BL27</f>
        <v>0.1</v>
      </c>
      <c r="AO26" s="15">
        <f>AM26+AN26</f>
        <v>0.1</v>
      </c>
      <c r="AP26" s="15">
        <f>'Raw Data'!AW27</f>
        <v>1.1000000000000001</v>
      </c>
      <c r="AQ26" s="15">
        <f>'Raw Data'!BB27</f>
        <v>5.0999999999999996</v>
      </c>
      <c r="AR26" s="15">
        <f>AP26+AQ26</f>
        <v>6.1999999999999993</v>
      </c>
      <c r="AS26" s="15">
        <f>'Raw Data'!BQ27</f>
        <v>0.1</v>
      </c>
      <c r="AT26" s="16">
        <f>'Raw Data'!BY27</f>
        <v>0.9</v>
      </c>
      <c r="AU26" s="26">
        <f>'Raw Data'!AI27</f>
        <v>7.6</v>
      </c>
      <c r="AV26" s="27">
        <f>SUM(AX26:AZ26)</f>
        <v>6.6</v>
      </c>
      <c r="AW26" s="27">
        <f>'Raw Data'!AN27</f>
        <v>1</v>
      </c>
      <c r="AX26" s="27">
        <f>'Raw Data'!AS27</f>
        <v>0.7</v>
      </c>
      <c r="AY26" s="27">
        <f>'Raw Data'!AU27</f>
        <v>3.8</v>
      </c>
      <c r="AZ26" s="27">
        <f>'Raw Data'!AL27</f>
        <v>2.1</v>
      </c>
      <c r="BA26" s="17">
        <f>'Raw Data'!CF27</f>
        <v>50</v>
      </c>
      <c r="BB26" s="18">
        <f>'Raw Data'!CJ27</f>
        <v>0</v>
      </c>
      <c r="BC26" s="18">
        <f>'Raw Data'!CM27</f>
        <v>0</v>
      </c>
      <c r="BD26" s="18">
        <f>'Raw Data'!CO27</f>
        <v>0</v>
      </c>
      <c r="BE26" s="19">
        <f>'Raw Data'!CP27</f>
        <v>1</v>
      </c>
      <c r="BF26" s="20">
        <f>'Raw Data'!DO27/$C26</f>
        <v>0</v>
      </c>
      <c r="BG26" s="20">
        <f>'Raw Data'!DG27/$C26</f>
        <v>0</v>
      </c>
      <c r="BH26" s="20">
        <f>'Raw Data'!DK27/$C26</f>
        <v>0.1</v>
      </c>
      <c r="BI26" s="20">
        <f>'Raw Data'!DS27/$C26</f>
        <v>0</v>
      </c>
      <c r="BJ26" s="12">
        <f>'Raw Data'!DP27/$C26</f>
        <v>0</v>
      </c>
      <c r="BK26" s="12">
        <f>'Raw Data'!DH27/$C26</f>
        <v>0.4</v>
      </c>
      <c r="BL26" s="12">
        <f>'Raw Data'!DL27/$C26</f>
        <v>0</v>
      </c>
      <c r="BM26" s="12">
        <f>'Raw Data'!DT27/$C26</f>
        <v>0.5</v>
      </c>
      <c r="BN26" s="22">
        <f>'Raw Data'!DQ27/$C26</f>
        <v>1.1000000000000001</v>
      </c>
      <c r="BO26" s="22">
        <f>'Raw Data'!DI27/$C26</f>
        <v>0.1</v>
      </c>
      <c r="BP26" s="22">
        <f>'Raw Data'!DM27/$C26</f>
        <v>3.6</v>
      </c>
      <c r="BQ26" s="22">
        <f>'Raw Data'!DU27/$C26</f>
        <v>1.1000000000000001</v>
      </c>
      <c r="BR26" s="17">
        <f>'Raw Data'!DR27/$C26</f>
        <v>0</v>
      </c>
      <c r="BS26" s="17">
        <f>'Raw Data'!DJ27/$C26</f>
        <v>0.1</v>
      </c>
      <c r="BT26" s="17">
        <f>'Raw Data'!DN27/$C26</f>
        <v>0</v>
      </c>
      <c r="BU26" s="17">
        <f>'Raw Data'!DV27/$C26</f>
        <v>0</v>
      </c>
      <c r="BV26" s="12">
        <f>'Raw Data'!EM27</f>
        <v>3</v>
      </c>
      <c r="BW26" s="13">
        <f>'Raw Data'!EN27</f>
        <v>0</v>
      </c>
      <c r="BX26" s="13">
        <f>'Raw Data'!CC27</f>
        <v>1</v>
      </c>
      <c r="BY26" s="13">
        <f>SUM(AR26:AS26)</f>
        <v>6.2999999999999989</v>
      </c>
    </row>
    <row r="27" spans="1:77" ht="15.75" thickBot="1" x14ac:dyDescent="0.3">
      <c r="A27" s="63">
        <f>'Raw Data'!A19</f>
        <v>2367</v>
      </c>
      <c r="B27" s="63" t="str">
        <f>'Raw Data'!B19</f>
        <v xml:space="preserve"> Lancer Robotics</v>
      </c>
      <c r="C27" s="63">
        <f>'Raw Data'!C19</f>
        <v>10</v>
      </c>
      <c r="D27" s="63"/>
      <c r="E27" s="64">
        <f>IF(_xlfn.IFNA(MATCH(A27,'Center Switch 2'!A:A, 0),0)&gt;0,1,0)</f>
        <v>1</v>
      </c>
      <c r="F27" s="64">
        <f>_xlfn.IFNA(VLOOKUP(A27,'Center Switch 2'!A:G,2,0),0)</f>
        <v>3</v>
      </c>
      <c r="G27" s="64">
        <f>_xlfn.IFNA(VLOOKUP(A27,'Center Switch 2'!A:G,4,0),0)</f>
        <v>3</v>
      </c>
      <c r="H27" s="64">
        <f>_xlfn.IFNA(VLOOKUP(A27,'Center Switch 2'!A:G,5,0),0)</f>
        <v>1</v>
      </c>
      <c r="I27" s="64">
        <f>_xlfn.IFNA(VLOOKUP(A27,'Center Switch 2'!A:G,6,0),0)</f>
        <v>0</v>
      </c>
      <c r="J27" s="64">
        <f>_xlfn.IFNA(VLOOKUP(A27,'Center Switch 2'!A:G,7,0),0)</f>
        <v>0</v>
      </c>
      <c r="K27" s="65">
        <f>AP27</f>
        <v>1.4</v>
      </c>
      <c r="L27" s="65">
        <f>AQ27</f>
        <v>0.6</v>
      </c>
      <c r="M27" s="65">
        <f>AS27</f>
        <v>5.7</v>
      </c>
      <c r="N27" s="65">
        <f>2*O27</f>
        <v>0</v>
      </c>
      <c r="O27" s="65">
        <f>AO27</f>
        <v>0</v>
      </c>
      <c r="P27" s="65">
        <f>AV27</f>
        <v>7.5</v>
      </c>
      <c r="Q27" s="65">
        <f>AU27</f>
        <v>7.7</v>
      </c>
      <c r="R27" s="65">
        <f>AL27</f>
        <v>7.7</v>
      </c>
      <c r="S27" s="66">
        <f>'Raw Data'!CT19</f>
        <v>4.7880000000000003</v>
      </c>
      <c r="T27" s="66">
        <f>'Raw Data'!CR19</f>
        <v>5.9169999999999998</v>
      </c>
      <c r="U27" s="66">
        <f>'Raw Data'!CW19</f>
        <v>25.5</v>
      </c>
      <c r="V27" s="66">
        <f>'Raw Data'!DA19</f>
        <v>12</v>
      </c>
      <c r="W27" s="66">
        <f>BV27</f>
        <v>3.6</v>
      </c>
      <c r="X27" s="63">
        <v>1</v>
      </c>
      <c r="Y27" s="63">
        <v>1.3</v>
      </c>
      <c r="Z27" s="39">
        <v>15</v>
      </c>
      <c r="AA27" s="39" t="s">
        <v>319</v>
      </c>
      <c r="AD27" s="12">
        <f>'Raw Data'!D19</f>
        <v>2</v>
      </c>
      <c r="AE27" s="13">
        <f>'Raw Data'!E19</f>
        <v>3</v>
      </c>
      <c r="AF27" s="13">
        <f>'Raw Data'!F19</f>
        <v>5</v>
      </c>
      <c r="AG27" s="13">
        <f>'Raw Data'!G19</f>
        <v>10</v>
      </c>
      <c r="AH27" s="13">
        <f>'Raw Data'!O19</f>
        <v>5</v>
      </c>
      <c r="AI27" s="13">
        <f>'Raw Data'!T19</f>
        <v>0</v>
      </c>
      <c r="AJ27" s="13">
        <f>'Raw Data'!Y19</f>
        <v>0</v>
      </c>
      <c r="AK27" s="13">
        <f>'Raw Data'!AD19</f>
        <v>0</v>
      </c>
      <c r="AL27" s="22">
        <f>'Raw Data'!BV19</f>
        <v>7.7</v>
      </c>
      <c r="AM27" s="15">
        <f>'Raw Data'!BG19</f>
        <v>0</v>
      </c>
      <c r="AN27" s="15">
        <f>'Raw Data'!BL19</f>
        <v>0</v>
      </c>
      <c r="AO27" s="15">
        <f>AM27+AN27</f>
        <v>0</v>
      </c>
      <c r="AP27" s="15">
        <f>'Raw Data'!AW19</f>
        <v>1.4</v>
      </c>
      <c r="AQ27" s="15">
        <f>'Raw Data'!BB19</f>
        <v>0.6</v>
      </c>
      <c r="AR27" s="15">
        <f>AP27+AQ27</f>
        <v>2</v>
      </c>
      <c r="AS27" s="15">
        <f>'Raw Data'!BQ19</f>
        <v>5.7</v>
      </c>
      <c r="AT27" s="16">
        <f>'Raw Data'!BY19</f>
        <v>0.2</v>
      </c>
      <c r="AU27" s="26">
        <f>'Raw Data'!AI19</f>
        <v>7.7</v>
      </c>
      <c r="AV27" s="27">
        <f>SUM(AX27:AZ27)</f>
        <v>7.5</v>
      </c>
      <c r="AW27" s="27">
        <f>'Raw Data'!AN19</f>
        <v>0.2</v>
      </c>
      <c r="AX27" s="27">
        <f>'Raw Data'!AS19</f>
        <v>6.3</v>
      </c>
      <c r="AY27" s="27">
        <f>'Raw Data'!AU19</f>
        <v>0.5</v>
      </c>
      <c r="AZ27" s="27">
        <f>'Raw Data'!AL19</f>
        <v>0.7</v>
      </c>
      <c r="BA27" s="17">
        <f>'Raw Data'!CF19</f>
        <v>0</v>
      </c>
      <c r="BB27" s="18">
        <f>'Raw Data'!CJ19</f>
        <v>0</v>
      </c>
      <c r="BC27" s="18">
        <f>'Raw Data'!CM19</f>
        <v>0</v>
      </c>
      <c r="BD27" s="18">
        <f>'Raw Data'!CO19</f>
        <v>0</v>
      </c>
      <c r="BE27" s="19">
        <f>'Raw Data'!CP19</f>
        <v>7</v>
      </c>
      <c r="BF27" s="20">
        <f>'Raw Data'!DO19/$C27</f>
        <v>0</v>
      </c>
      <c r="BG27" s="20">
        <f>'Raw Data'!DG19/$C27</f>
        <v>0</v>
      </c>
      <c r="BH27" s="20">
        <f>'Raw Data'!DK19/$C27</f>
        <v>0</v>
      </c>
      <c r="BI27" s="20">
        <f>'Raw Data'!DS19/$C27</f>
        <v>0</v>
      </c>
      <c r="BJ27" s="12">
        <f>'Raw Data'!DP19/$C27</f>
        <v>0</v>
      </c>
      <c r="BK27" s="12">
        <f>'Raw Data'!DH19/$C27</f>
        <v>0.7</v>
      </c>
      <c r="BL27" s="12">
        <f>'Raw Data'!DL19/$C27</f>
        <v>0.3</v>
      </c>
      <c r="BM27" s="12">
        <f>'Raw Data'!DT19/$C27</f>
        <v>0.3</v>
      </c>
      <c r="BN27" s="22">
        <f>'Raw Data'!DQ19/$C27</f>
        <v>0.1</v>
      </c>
      <c r="BO27" s="22">
        <f>'Raw Data'!DI19/$C27</f>
        <v>0.2</v>
      </c>
      <c r="BP27" s="22">
        <f>'Raw Data'!DM19/$C27</f>
        <v>0.2</v>
      </c>
      <c r="BQ27" s="22">
        <f>'Raw Data'!DU19/$C27</f>
        <v>0</v>
      </c>
      <c r="BR27" s="17">
        <f>'Raw Data'!DR19/$C27</f>
        <v>0</v>
      </c>
      <c r="BS27" s="17">
        <f>'Raw Data'!DJ19/$C27</f>
        <v>5.4</v>
      </c>
      <c r="BT27" s="17">
        <f>'Raw Data'!DN19/$C27</f>
        <v>0.1</v>
      </c>
      <c r="BU27" s="17">
        <f>'Raw Data'!DV19/$C27</f>
        <v>0.3</v>
      </c>
      <c r="BV27" s="12">
        <f>'Raw Data'!EM19</f>
        <v>3.6</v>
      </c>
      <c r="BW27" s="13">
        <f>'Raw Data'!EN19</f>
        <v>3</v>
      </c>
      <c r="BX27" s="13">
        <f>'Raw Data'!CC19</f>
        <v>0</v>
      </c>
      <c r="BY27" s="13">
        <f>SUM(AR27:AS27)</f>
        <v>7.7</v>
      </c>
    </row>
    <row r="28" spans="1:77" x14ac:dyDescent="0.25">
      <c r="A28" s="67">
        <f>'Raw Data'!A6</f>
        <v>812</v>
      </c>
      <c r="B28" s="67" t="str">
        <f>'Raw Data'!B6</f>
        <v xml:space="preserve"> The Midnight Mechanics</v>
      </c>
      <c r="C28" s="67">
        <f>'Raw Data'!C6</f>
        <v>10</v>
      </c>
      <c r="D28" s="67"/>
      <c r="E28" s="68">
        <f>IF(_xlfn.IFNA(MATCH(A28,'Center Switch 2'!A:A, 0),0)&gt;0,1,0)</f>
        <v>1</v>
      </c>
      <c r="F28" s="68">
        <f>_xlfn.IFNA(VLOOKUP(A28,'Center Switch 2'!A:G,2,0),0)</f>
        <v>1</v>
      </c>
      <c r="G28" s="68">
        <f>_xlfn.IFNA(VLOOKUP(A28,'Center Switch 2'!A:G,4,0),0)</f>
        <v>1</v>
      </c>
      <c r="H28" s="68">
        <f>_xlfn.IFNA(VLOOKUP(A28,'Center Switch 2'!A:G,5,0),0)</f>
        <v>1</v>
      </c>
      <c r="I28" s="68">
        <f>_xlfn.IFNA(VLOOKUP(A28,'Center Switch 2'!A:G,6,0),0)</f>
        <v>0</v>
      </c>
      <c r="J28" s="68">
        <f>_xlfn.IFNA(VLOOKUP(A28,'Center Switch 2'!A:G,7,0),0)</f>
        <v>0</v>
      </c>
      <c r="K28" s="69">
        <f>AP28</f>
        <v>1.8</v>
      </c>
      <c r="L28" s="69">
        <f>AQ28</f>
        <v>1.4</v>
      </c>
      <c r="M28" s="69">
        <f>AS28</f>
        <v>4.3</v>
      </c>
      <c r="N28" s="69">
        <f>2*O28</f>
        <v>0</v>
      </c>
      <c r="O28" s="69">
        <f>AO28</f>
        <v>0</v>
      </c>
      <c r="P28" s="69">
        <f>AV28</f>
        <v>6.1999999999999993</v>
      </c>
      <c r="Q28" s="69">
        <f>AU28</f>
        <v>6.8</v>
      </c>
      <c r="R28" s="69">
        <f>AL28</f>
        <v>7.5</v>
      </c>
      <c r="S28" s="70">
        <f>'Raw Data'!CT6</f>
        <v>5.4630000000000001</v>
      </c>
      <c r="T28" s="70">
        <f>'Raw Data'!CR6</f>
        <v>7.69</v>
      </c>
      <c r="U28" s="70">
        <f>'Raw Data'!CW6</f>
        <v>9.1669999999999998</v>
      </c>
      <c r="V28" s="70">
        <f>'Raw Data'!DA6</f>
        <v>5.6669999999999998</v>
      </c>
      <c r="W28" s="70">
        <f>BV28</f>
        <v>3.1</v>
      </c>
      <c r="X28" s="67">
        <v>1</v>
      </c>
      <c r="Y28" s="67">
        <v>1.4</v>
      </c>
      <c r="Z28" s="39">
        <v>16</v>
      </c>
      <c r="AD28" s="12">
        <f>'Raw Data'!D6</f>
        <v>4</v>
      </c>
      <c r="AE28" s="13">
        <f>'Raw Data'!E6</f>
        <v>1</v>
      </c>
      <c r="AF28" s="13">
        <f>'Raw Data'!F6</f>
        <v>5</v>
      </c>
      <c r="AG28" s="13">
        <f>'Raw Data'!G6</f>
        <v>10</v>
      </c>
      <c r="AH28" s="13">
        <f>'Raw Data'!O6</f>
        <v>6</v>
      </c>
      <c r="AI28" s="13">
        <f>'Raw Data'!T6</f>
        <v>0</v>
      </c>
      <c r="AJ28" s="13">
        <f>'Raw Data'!Y6</f>
        <v>0</v>
      </c>
      <c r="AK28" s="13">
        <f>'Raw Data'!AD6</f>
        <v>0</v>
      </c>
      <c r="AL28" s="22">
        <f>'Raw Data'!BV6</f>
        <v>7.5</v>
      </c>
      <c r="AM28" s="15">
        <f>'Raw Data'!BG6</f>
        <v>0</v>
      </c>
      <c r="AN28" s="15">
        <f>'Raw Data'!BL6</f>
        <v>0</v>
      </c>
      <c r="AO28" s="15">
        <f>AM28+AN28</f>
        <v>0</v>
      </c>
      <c r="AP28" s="15">
        <f>'Raw Data'!AW6</f>
        <v>1.8</v>
      </c>
      <c r="AQ28" s="15">
        <f>'Raw Data'!BB6</f>
        <v>1.4</v>
      </c>
      <c r="AR28" s="15">
        <f>AP28+AQ28</f>
        <v>3.2</v>
      </c>
      <c r="AS28" s="15">
        <f>'Raw Data'!BQ6</f>
        <v>4.3</v>
      </c>
      <c r="AT28" s="16">
        <f>'Raw Data'!BY6</f>
        <v>0.2</v>
      </c>
      <c r="AU28" s="26">
        <f>'Raw Data'!AI6</f>
        <v>6.8</v>
      </c>
      <c r="AV28" s="27">
        <f>SUM(AX28:AZ28)</f>
        <v>6.1999999999999993</v>
      </c>
      <c r="AW28" s="27">
        <f>'Raw Data'!AN6</f>
        <v>0.6</v>
      </c>
      <c r="AX28" s="27">
        <f>'Raw Data'!AS6</f>
        <v>3.9</v>
      </c>
      <c r="AY28" s="27">
        <f>'Raw Data'!AU6</f>
        <v>0.7</v>
      </c>
      <c r="AZ28" s="27">
        <f>'Raw Data'!AL6</f>
        <v>1.6</v>
      </c>
      <c r="BA28" s="17">
        <f>'Raw Data'!CF6</f>
        <v>0</v>
      </c>
      <c r="BB28" s="18">
        <f>'Raw Data'!CJ6</f>
        <v>0</v>
      </c>
      <c r="BC28" s="18">
        <f>'Raw Data'!CM6</f>
        <v>0</v>
      </c>
      <c r="BD28" s="18">
        <f>'Raw Data'!CO6</f>
        <v>0</v>
      </c>
      <c r="BE28" s="19">
        <f>'Raw Data'!CP6</f>
        <v>5</v>
      </c>
      <c r="BF28" s="20">
        <f>'Raw Data'!DO6/$C28</f>
        <v>0</v>
      </c>
      <c r="BG28" s="20">
        <f>'Raw Data'!DG6/$C28</f>
        <v>0.1</v>
      </c>
      <c r="BH28" s="20">
        <f>'Raw Data'!DK6/$C28</f>
        <v>0</v>
      </c>
      <c r="BI28" s="20">
        <f>'Raw Data'!DS6/$C28</f>
        <v>0</v>
      </c>
      <c r="BJ28" s="12">
        <f>'Raw Data'!DP6/$C28</f>
        <v>0.4</v>
      </c>
      <c r="BK28" s="12">
        <f>'Raw Data'!DH6/$C28</f>
        <v>1</v>
      </c>
      <c r="BL28" s="12">
        <f>'Raw Data'!DL6/$C28</f>
        <v>0.3</v>
      </c>
      <c r="BM28" s="12">
        <f>'Raw Data'!DT6/$C28</f>
        <v>0.2</v>
      </c>
      <c r="BN28" s="22">
        <f>'Raw Data'!DQ6/$C28</f>
        <v>0.6</v>
      </c>
      <c r="BO28" s="22">
        <f>'Raw Data'!DI6/$C28</f>
        <v>0</v>
      </c>
      <c r="BP28" s="22">
        <f>'Raw Data'!DM6/$C28</f>
        <v>0.4</v>
      </c>
      <c r="BQ28" s="22">
        <f>'Raw Data'!DU6/$C28</f>
        <v>0.2</v>
      </c>
      <c r="BR28" s="17">
        <f>'Raw Data'!DR6/$C28</f>
        <v>0</v>
      </c>
      <c r="BS28" s="17">
        <f>'Raw Data'!DJ6/$C28</f>
        <v>3.9</v>
      </c>
      <c r="BT28" s="17">
        <f>'Raw Data'!DN6/$C28</f>
        <v>0</v>
      </c>
      <c r="BU28" s="17">
        <f>'Raw Data'!DV6/$C28</f>
        <v>0.5</v>
      </c>
      <c r="BV28" s="12">
        <f>'Raw Data'!EM6</f>
        <v>3.1</v>
      </c>
      <c r="BW28" s="13">
        <f>'Raw Data'!EN6</f>
        <v>0</v>
      </c>
      <c r="BX28" s="13">
        <f>'Raw Data'!CC6</f>
        <v>1</v>
      </c>
      <c r="BY28" s="13">
        <f>SUM(AR28:AS28)</f>
        <v>7.5</v>
      </c>
    </row>
    <row r="29" spans="1:77" x14ac:dyDescent="0.25">
      <c r="A29" s="67">
        <f>'Raw Data'!A11</f>
        <v>1251</v>
      </c>
      <c r="B29" s="67" t="str">
        <f>'Raw Data'!B11</f>
        <v>Tech-Tiger Robotics</v>
      </c>
      <c r="C29" s="67">
        <f>'Raw Data'!C11</f>
        <v>9</v>
      </c>
      <c r="D29" s="67"/>
      <c r="E29" s="68">
        <f>IF(_xlfn.IFNA(MATCH(A29,'Center Switch 2'!A:A, 0),0)&gt;0,1,0)</f>
        <v>1</v>
      </c>
      <c r="F29" s="68">
        <f>_xlfn.IFNA(VLOOKUP(A29,'Center Switch 2'!A:G,2,0),0)</f>
        <v>6</v>
      </c>
      <c r="G29" s="68">
        <f>_xlfn.IFNA(VLOOKUP(A29,'Center Switch 2'!A:G,4,0),0)</f>
        <v>6</v>
      </c>
      <c r="H29" s="68">
        <f>_xlfn.IFNA(VLOOKUP(A29,'Center Switch 2'!A:G,5,0),0)</f>
        <v>1</v>
      </c>
      <c r="I29" s="68">
        <f>_xlfn.IFNA(VLOOKUP(A29,'Center Switch 2'!A:G,6,0),0)</f>
        <v>3</v>
      </c>
      <c r="J29" s="68">
        <f>_xlfn.IFNA(VLOOKUP(A29,'Center Switch 2'!A:G,7,0),0)</f>
        <v>0.5</v>
      </c>
      <c r="K29" s="69">
        <f>AP29</f>
        <v>0.55600000000000005</v>
      </c>
      <c r="L29" s="69">
        <f>AQ29</f>
        <v>1.111</v>
      </c>
      <c r="M29" s="69">
        <f>AS29</f>
        <v>0.33300000000000002</v>
      </c>
      <c r="N29" s="69">
        <f>2*O29</f>
        <v>5.1099999999999994</v>
      </c>
      <c r="O29" s="69">
        <f>AO29</f>
        <v>2.5549999999999997</v>
      </c>
      <c r="P29" s="69">
        <f>AV29</f>
        <v>4.8890000000000002</v>
      </c>
      <c r="Q29" s="69">
        <f>AU29</f>
        <v>5.1109999999999998</v>
      </c>
      <c r="R29" s="69">
        <f>AL29</f>
        <v>4.556</v>
      </c>
      <c r="S29" s="70">
        <f>'Raw Data'!CT11</f>
        <v>11.75</v>
      </c>
      <c r="T29" s="70">
        <f>'Raw Data'!CR11</f>
        <v>0</v>
      </c>
      <c r="U29" s="70">
        <f>'Raw Data'!CW11</f>
        <v>7.75</v>
      </c>
      <c r="V29" s="70">
        <f>'Raw Data'!DA11</f>
        <v>5</v>
      </c>
      <c r="W29" s="70">
        <f>BV29</f>
        <v>3.3330000000000002</v>
      </c>
      <c r="X29" s="67">
        <v>3</v>
      </c>
      <c r="Y29" s="67">
        <v>3.4</v>
      </c>
      <c r="Z29" s="39">
        <v>17</v>
      </c>
      <c r="AD29" s="12">
        <f>'Raw Data'!D11</f>
        <v>2</v>
      </c>
      <c r="AE29" s="13">
        <f>'Raw Data'!E11</f>
        <v>6</v>
      </c>
      <c r="AF29" s="13">
        <f>'Raw Data'!F11</f>
        <v>1</v>
      </c>
      <c r="AG29" s="13">
        <f>'Raw Data'!G11</f>
        <v>9</v>
      </c>
      <c r="AH29" s="13">
        <f>'Raw Data'!O11</f>
        <v>7</v>
      </c>
      <c r="AI29" s="13">
        <f>'Raw Data'!T11</f>
        <v>0</v>
      </c>
      <c r="AJ29" s="13">
        <f>'Raw Data'!Y11</f>
        <v>0</v>
      </c>
      <c r="AK29" s="13">
        <f>'Raw Data'!AD11</f>
        <v>0</v>
      </c>
      <c r="AL29" s="22">
        <f>'Raw Data'!BV11</f>
        <v>4.556</v>
      </c>
      <c r="AM29" s="15">
        <f>'Raw Data'!BG11</f>
        <v>1.444</v>
      </c>
      <c r="AN29" s="15">
        <f>'Raw Data'!BL11</f>
        <v>1.111</v>
      </c>
      <c r="AO29" s="15">
        <f>AM29+AN29</f>
        <v>2.5549999999999997</v>
      </c>
      <c r="AP29" s="15">
        <f>'Raw Data'!AW11</f>
        <v>0.55600000000000005</v>
      </c>
      <c r="AQ29" s="15">
        <f>'Raw Data'!BB11</f>
        <v>1.111</v>
      </c>
      <c r="AR29" s="15">
        <f>AP29+AQ29</f>
        <v>1.667</v>
      </c>
      <c r="AS29" s="15">
        <f>'Raw Data'!BQ11</f>
        <v>0.33300000000000002</v>
      </c>
      <c r="AT29" s="16">
        <f>'Raw Data'!BY11</f>
        <v>0.55600000000000005</v>
      </c>
      <c r="AU29" s="26">
        <f>'Raw Data'!AI11</f>
        <v>5.1109999999999998</v>
      </c>
      <c r="AV29" s="27">
        <f>SUM(AX29:AZ29)</f>
        <v>4.8890000000000002</v>
      </c>
      <c r="AW29" s="27">
        <f>'Raw Data'!AN11</f>
        <v>0.222</v>
      </c>
      <c r="AX29" s="27">
        <f>'Raw Data'!AS11</f>
        <v>0.55600000000000005</v>
      </c>
      <c r="AY29" s="27">
        <f>'Raw Data'!AU11</f>
        <v>2.444</v>
      </c>
      <c r="AZ29" s="27">
        <f>'Raw Data'!AL11</f>
        <v>1.889</v>
      </c>
      <c r="BA29" s="17">
        <f>'Raw Data'!CF11</f>
        <v>66.667000000000002</v>
      </c>
      <c r="BB29" s="18">
        <f>'Raw Data'!CJ11</f>
        <v>0</v>
      </c>
      <c r="BC29" s="18">
        <f>'Raw Data'!CM11</f>
        <v>0</v>
      </c>
      <c r="BD29" s="18">
        <f>'Raw Data'!CO11</f>
        <v>0</v>
      </c>
      <c r="BE29" s="19">
        <f>'Raw Data'!CP11</f>
        <v>1</v>
      </c>
      <c r="BF29" s="20">
        <f>'Raw Data'!DO11/$C29</f>
        <v>0.33333333333333331</v>
      </c>
      <c r="BG29" s="20">
        <f>'Raw Data'!DG11/$C29</f>
        <v>0.33333333333333331</v>
      </c>
      <c r="BH29" s="20">
        <f>'Raw Data'!DK11/$C29</f>
        <v>1.5555555555555556</v>
      </c>
      <c r="BI29" s="20">
        <f>'Raw Data'!DS11/$C29</f>
        <v>0.55555555555555558</v>
      </c>
      <c r="BJ29" s="12">
        <f>'Raw Data'!DP11/$C29</f>
        <v>0</v>
      </c>
      <c r="BK29" s="12">
        <f>'Raw Data'!DH11/$C29</f>
        <v>0</v>
      </c>
      <c r="BL29" s="12">
        <f>'Raw Data'!DL11/$C29</f>
        <v>0.33333333333333331</v>
      </c>
      <c r="BM29" s="12">
        <f>'Raw Data'!DT11/$C29</f>
        <v>0.1111111111111111</v>
      </c>
      <c r="BN29" s="22">
        <f>'Raw Data'!DQ11/$C29</f>
        <v>0.1111111111111111</v>
      </c>
      <c r="BO29" s="22">
        <f>'Raw Data'!DI11/$C29</f>
        <v>0</v>
      </c>
      <c r="BP29" s="22">
        <f>'Raw Data'!DM11/$C29</f>
        <v>0.77777777777777779</v>
      </c>
      <c r="BQ29" s="22">
        <f>'Raw Data'!DU11/$C29</f>
        <v>0.22222222222222221</v>
      </c>
      <c r="BR29" s="17">
        <f>'Raw Data'!DR11/$C29</f>
        <v>0</v>
      </c>
      <c r="BS29" s="17">
        <f>'Raw Data'!DJ11/$C29</f>
        <v>0.33333333333333331</v>
      </c>
      <c r="BT29" s="17">
        <f>'Raw Data'!DN11/$C29</f>
        <v>0</v>
      </c>
      <c r="BU29" s="17">
        <f>'Raw Data'!DV11/$C29</f>
        <v>0</v>
      </c>
      <c r="BV29" s="12">
        <f>'Raw Data'!EM11</f>
        <v>3.3330000000000002</v>
      </c>
      <c r="BW29" s="13">
        <f>'Raw Data'!EN11</f>
        <v>2</v>
      </c>
      <c r="BX29" s="13">
        <f>'Raw Data'!CC11</f>
        <v>11</v>
      </c>
      <c r="BY29" s="13">
        <f>SUM(AR29:AS29)</f>
        <v>2</v>
      </c>
    </row>
    <row r="30" spans="1:77" x14ac:dyDescent="0.25">
      <c r="A30" s="67">
        <f>'Raw Data'!A7</f>
        <v>832</v>
      </c>
      <c r="B30" s="67" t="str">
        <f>'Raw Data'!B7</f>
        <v xml:space="preserve"> Oscar</v>
      </c>
      <c r="C30" s="67">
        <f>'Raw Data'!C7</f>
        <v>10</v>
      </c>
      <c r="D30" s="67"/>
      <c r="E30" s="68">
        <f>IF(_xlfn.IFNA(MATCH(A30,'Center Switch 2'!A:A, 0),0)&gt;0,1,0)</f>
        <v>1</v>
      </c>
      <c r="F30" s="68">
        <f>_xlfn.IFNA(VLOOKUP(A30,'Center Switch 2'!A:G,2,0),0)</f>
        <v>7</v>
      </c>
      <c r="G30" s="68">
        <f>_xlfn.IFNA(VLOOKUP(A30,'Center Switch 2'!A:G,4,0),0)</f>
        <v>5</v>
      </c>
      <c r="H30" s="68">
        <f>_xlfn.IFNA(VLOOKUP(A30,'Center Switch 2'!A:G,5,0),0)</f>
        <v>0.83333333333333337</v>
      </c>
      <c r="I30" s="68">
        <f>_xlfn.IFNA(VLOOKUP(A30,'Center Switch 2'!A:G,6,0),0)</f>
        <v>1</v>
      </c>
      <c r="J30" s="68">
        <f>_xlfn.IFNA(VLOOKUP(A30,'Center Switch 2'!A:G,7,0),0)</f>
        <v>0.16666666666666666</v>
      </c>
      <c r="K30" s="69">
        <f>AP30</f>
        <v>1.6</v>
      </c>
      <c r="L30" s="69">
        <f>AQ30</f>
        <v>0.2</v>
      </c>
      <c r="M30" s="69">
        <f>AS30</f>
        <v>2.2000000000000002</v>
      </c>
      <c r="N30" s="69">
        <f>2*O30</f>
        <v>3.8</v>
      </c>
      <c r="O30" s="69">
        <f>AO30</f>
        <v>1.9</v>
      </c>
      <c r="P30" s="69">
        <f>AV30</f>
        <v>6.3</v>
      </c>
      <c r="Q30" s="69">
        <f>AU30</f>
        <v>6.5</v>
      </c>
      <c r="R30" s="69">
        <f>AL30</f>
        <v>5.9</v>
      </c>
      <c r="S30" s="70">
        <f>'Raw Data'!CT7</f>
        <v>5.8730000000000002</v>
      </c>
      <c r="T30" s="70">
        <f>'Raw Data'!CR7</f>
        <v>5.5</v>
      </c>
      <c r="U30" s="70">
        <f>'Raw Data'!CW7</f>
        <v>0</v>
      </c>
      <c r="V30" s="70">
        <f>'Raw Data'!DA7</f>
        <v>4</v>
      </c>
      <c r="W30" s="70">
        <f>BV30</f>
        <v>3.1</v>
      </c>
      <c r="X30" s="67">
        <v>2</v>
      </c>
      <c r="Y30" s="67">
        <v>2.6</v>
      </c>
      <c r="Z30" s="39">
        <v>18</v>
      </c>
      <c r="AA30" s="39" t="s">
        <v>313</v>
      </c>
      <c r="AD30" s="12">
        <f>'Raw Data'!D7</f>
        <v>0</v>
      </c>
      <c r="AE30" s="13">
        <f>'Raw Data'!E7</f>
        <v>7</v>
      </c>
      <c r="AF30" s="13">
        <f>'Raw Data'!F7</f>
        <v>3</v>
      </c>
      <c r="AG30" s="13">
        <f>'Raw Data'!G7</f>
        <v>9</v>
      </c>
      <c r="AH30" s="13">
        <f>'Raw Data'!O7</f>
        <v>5</v>
      </c>
      <c r="AI30" s="13">
        <f>'Raw Data'!T7</f>
        <v>0</v>
      </c>
      <c r="AJ30" s="13">
        <f>'Raw Data'!Y7</f>
        <v>0</v>
      </c>
      <c r="AK30" s="13">
        <f>'Raw Data'!AD7</f>
        <v>0</v>
      </c>
      <c r="AL30" s="22">
        <f>'Raw Data'!BV7</f>
        <v>5.9</v>
      </c>
      <c r="AM30" s="15">
        <f>'Raw Data'!BG7</f>
        <v>1.2</v>
      </c>
      <c r="AN30" s="15">
        <f>'Raw Data'!BL7</f>
        <v>0.7</v>
      </c>
      <c r="AO30" s="15">
        <f>AM30+AN30</f>
        <v>1.9</v>
      </c>
      <c r="AP30" s="15">
        <f>'Raw Data'!AW7</f>
        <v>1.6</v>
      </c>
      <c r="AQ30" s="15">
        <f>'Raw Data'!BB7</f>
        <v>0.2</v>
      </c>
      <c r="AR30" s="15">
        <f>AP30+AQ30</f>
        <v>1.8</v>
      </c>
      <c r="AS30" s="15">
        <f>'Raw Data'!BQ7</f>
        <v>2.2000000000000002</v>
      </c>
      <c r="AT30" s="16">
        <f>'Raw Data'!BY7</f>
        <v>0.2</v>
      </c>
      <c r="AU30" s="26">
        <f>'Raw Data'!AI7</f>
        <v>6.5</v>
      </c>
      <c r="AV30" s="27">
        <f>SUM(AX30:AZ30)</f>
        <v>6.3</v>
      </c>
      <c r="AW30" s="27">
        <f>'Raw Data'!AN7</f>
        <v>0.2</v>
      </c>
      <c r="AX30" s="27">
        <f>'Raw Data'!AS7</f>
        <v>1.9</v>
      </c>
      <c r="AY30" s="27">
        <f>'Raw Data'!AU7</f>
        <v>2.2000000000000002</v>
      </c>
      <c r="AZ30" s="27">
        <f>'Raw Data'!AL7</f>
        <v>2.2000000000000002</v>
      </c>
      <c r="BA30" s="17">
        <f>'Raw Data'!CF7</f>
        <v>100</v>
      </c>
      <c r="BB30" s="18">
        <f>'Raw Data'!CJ7</f>
        <v>0</v>
      </c>
      <c r="BC30" s="18">
        <f>'Raw Data'!CM7</f>
        <v>0</v>
      </c>
      <c r="BD30" s="18">
        <f>'Raw Data'!CO7</f>
        <v>0</v>
      </c>
      <c r="BE30" s="19">
        <f>'Raw Data'!CP7</f>
        <v>1</v>
      </c>
      <c r="BF30" s="20">
        <f>'Raw Data'!DO7/$C30</f>
        <v>0.1</v>
      </c>
      <c r="BG30" s="20">
        <f>'Raw Data'!DG7/$C30</f>
        <v>0</v>
      </c>
      <c r="BH30" s="20">
        <f>'Raw Data'!DK7/$C30</f>
        <v>1.2</v>
      </c>
      <c r="BI30" s="20">
        <f>'Raw Data'!DS7/$C30</f>
        <v>0.6</v>
      </c>
      <c r="BJ30" s="12">
        <f>'Raw Data'!DP7/$C30</f>
        <v>0</v>
      </c>
      <c r="BK30" s="12">
        <f>'Raw Data'!DH7/$C30</f>
        <v>0.3</v>
      </c>
      <c r="BL30" s="12">
        <f>'Raw Data'!DL7/$C30</f>
        <v>0.6</v>
      </c>
      <c r="BM30" s="12">
        <f>'Raw Data'!DT7/$C30</f>
        <v>0.6</v>
      </c>
      <c r="BN30" s="22">
        <f>'Raw Data'!DQ7/$C30</f>
        <v>0.1</v>
      </c>
      <c r="BO30" s="22">
        <f>'Raw Data'!DI7/$C30</f>
        <v>0</v>
      </c>
      <c r="BP30" s="22">
        <f>'Raw Data'!DM7/$C30</f>
        <v>0</v>
      </c>
      <c r="BQ30" s="22">
        <f>'Raw Data'!DU7/$C30</f>
        <v>0.1</v>
      </c>
      <c r="BR30" s="17">
        <f>'Raw Data'!DR7/$C30</f>
        <v>0</v>
      </c>
      <c r="BS30" s="17">
        <f>'Raw Data'!DJ7/$C30</f>
        <v>1.2</v>
      </c>
      <c r="BT30" s="17">
        <f>'Raw Data'!DN7/$C30</f>
        <v>0.1</v>
      </c>
      <c r="BU30" s="17">
        <f>'Raw Data'!DV7/$C30</f>
        <v>0.2</v>
      </c>
      <c r="BV30" s="12">
        <f>'Raw Data'!EM7</f>
        <v>3.1</v>
      </c>
      <c r="BW30" s="13">
        <f>'Raw Data'!EN7</f>
        <v>1.5</v>
      </c>
      <c r="BX30" s="13">
        <f>'Raw Data'!CC7</f>
        <v>22</v>
      </c>
      <c r="BY30" s="13">
        <f>SUM(AR30:AS30)</f>
        <v>4</v>
      </c>
    </row>
    <row r="31" spans="1:77" x14ac:dyDescent="0.25">
      <c r="A31" s="67">
        <f>'Raw Data'!A39</f>
        <v>4468</v>
      </c>
      <c r="B31" s="67" t="str">
        <f>'Raw Data'!B39</f>
        <v xml:space="preserve"> Fernbank LINKS</v>
      </c>
      <c r="C31" s="67">
        <f>'Raw Data'!C39</f>
        <v>10</v>
      </c>
      <c r="D31" s="67"/>
      <c r="E31" s="68">
        <f>IF(_xlfn.IFNA(MATCH(A31,'Center Switch 2'!A:A, 0),0)&gt;0,1,0)</f>
        <v>1</v>
      </c>
      <c r="F31" s="68">
        <f>_xlfn.IFNA(VLOOKUP(A31,'Center Switch 2'!A:G,2,0),0)</f>
        <v>2</v>
      </c>
      <c r="G31" s="68">
        <f>_xlfn.IFNA(VLOOKUP(A31,'Center Switch 2'!A:G,4,0),0)</f>
        <v>1</v>
      </c>
      <c r="H31" s="68">
        <f>_xlfn.IFNA(VLOOKUP(A31,'Center Switch 2'!A:G,5,0),0)</f>
        <v>1</v>
      </c>
      <c r="I31" s="68">
        <f>_xlfn.IFNA(VLOOKUP(A31,'Center Switch 2'!A:G,6,0),0)</f>
        <v>0</v>
      </c>
      <c r="J31" s="68">
        <f>_xlfn.IFNA(VLOOKUP(A31,'Center Switch 2'!A:G,7,0),0)</f>
        <v>0</v>
      </c>
      <c r="K31" s="69">
        <f>AP31</f>
        <v>1.4</v>
      </c>
      <c r="L31" s="69">
        <f>AQ31</f>
        <v>1.1000000000000001</v>
      </c>
      <c r="M31" s="69">
        <f>AS31</f>
        <v>4.8</v>
      </c>
      <c r="N31" s="69">
        <f>2*O31</f>
        <v>0</v>
      </c>
      <c r="O31" s="69">
        <f>AO31</f>
        <v>0</v>
      </c>
      <c r="P31" s="69">
        <f>AV31</f>
        <v>7.1</v>
      </c>
      <c r="Q31" s="69">
        <f>AU31</f>
        <v>7.6</v>
      </c>
      <c r="R31" s="69">
        <f>AL31</f>
        <v>7.3</v>
      </c>
      <c r="S31" s="70">
        <f>'Raw Data'!CT39</f>
        <v>4.5940000000000003</v>
      </c>
      <c r="T31" s="70">
        <f>'Raw Data'!CR39</f>
        <v>10.667</v>
      </c>
      <c r="U31" s="70">
        <f>'Raw Data'!CW39</f>
        <v>5.4169999999999998</v>
      </c>
      <c r="V31" s="70">
        <f>'Raw Data'!DA39</f>
        <v>8.5</v>
      </c>
      <c r="W31" s="70">
        <f>BV31</f>
        <v>3.1</v>
      </c>
      <c r="X31" s="67">
        <v>1</v>
      </c>
      <c r="Y31" s="67">
        <v>1.5</v>
      </c>
      <c r="Z31" s="39">
        <v>19</v>
      </c>
      <c r="AD31" s="12">
        <f>'Raw Data'!D39</f>
        <v>6</v>
      </c>
      <c r="AE31" s="13">
        <f>'Raw Data'!E39</f>
        <v>2</v>
      </c>
      <c r="AF31" s="13">
        <f>'Raw Data'!F39</f>
        <v>2</v>
      </c>
      <c r="AG31" s="13">
        <f>'Raw Data'!G39</f>
        <v>9</v>
      </c>
      <c r="AH31" s="13">
        <f>'Raw Data'!O39</f>
        <v>1</v>
      </c>
      <c r="AI31" s="13">
        <f>'Raw Data'!T39</f>
        <v>0</v>
      </c>
      <c r="AJ31" s="13">
        <f>'Raw Data'!Y39</f>
        <v>0</v>
      </c>
      <c r="AK31" s="13">
        <f>'Raw Data'!AD39</f>
        <v>0</v>
      </c>
      <c r="AL31" s="22">
        <f>'Raw Data'!BV39</f>
        <v>7.3</v>
      </c>
      <c r="AM31" s="15">
        <f>'Raw Data'!BG39</f>
        <v>0</v>
      </c>
      <c r="AN31" s="15">
        <f>'Raw Data'!BL39</f>
        <v>0</v>
      </c>
      <c r="AO31" s="15">
        <f>AM31+AN31</f>
        <v>0</v>
      </c>
      <c r="AP31" s="15">
        <f>'Raw Data'!AW39</f>
        <v>1.4</v>
      </c>
      <c r="AQ31" s="15">
        <f>'Raw Data'!BB39</f>
        <v>1.1000000000000001</v>
      </c>
      <c r="AR31" s="15">
        <f>AP31+AQ31</f>
        <v>2.5</v>
      </c>
      <c r="AS31" s="15">
        <f>'Raw Data'!BQ39</f>
        <v>4.8</v>
      </c>
      <c r="AT31" s="16">
        <f>'Raw Data'!BY39</f>
        <v>0.6</v>
      </c>
      <c r="AU31" s="26">
        <f>'Raw Data'!AI39</f>
        <v>7.6</v>
      </c>
      <c r="AV31" s="27">
        <f>SUM(AX31:AZ31)</f>
        <v>7.1</v>
      </c>
      <c r="AW31" s="27">
        <f>'Raw Data'!AN39</f>
        <v>0.5</v>
      </c>
      <c r="AX31" s="27">
        <f>'Raw Data'!AS39</f>
        <v>5</v>
      </c>
      <c r="AY31" s="27">
        <f>'Raw Data'!AU39</f>
        <v>0.7</v>
      </c>
      <c r="AZ31" s="27">
        <f>'Raw Data'!AL39</f>
        <v>1.4</v>
      </c>
      <c r="BA31" s="17">
        <f>'Raw Data'!CF39</f>
        <v>0</v>
      </c>
      <c r="BB31" s="18">
        <f>'Raw Data'!CJ39</f>
        <v>0</v>
      </c>
      <c r="BC31" s="18">
        <f>'Raw Data'!CM39</f>
        <v>0</v>
      </c>
      <c r="BD31" s="18">
        <f>'Raw Data'!CO39</f>
        <v>0</v>
      </c>
      <c r="BE31" s="19">
        <f>'Raw Data'!CP39</f>
        <v>8</v>
      </c>
      <c r="BF31" s="20">
        <f>'Raw Data'!DO39/$C31</f>
        <v>0</v>
      </c>
      <c r="BG31" s="20">
        <f>'Raw Data'!DG39/$C31</f>
        <v>0</v>
      </c>
      <c r="BH31" s="20">
        <f>'Raw Data'!DK39/$C31</f>
        <v>0</v>
      </c>
      <c r="BI31" s="20">
        <f>'Raw Data'!DS39/$C31</f>
        <v>0</v>
      </c>
      <c r="BJ31" s="12">
        <f>'Raw Data'!DP39/$C31</f>
        <v>0.1</v>
      </c>
      <c r="BK31" s="12">
        <f>'Raw Data'!DH39/$C31</f>
        <v>0.6</v>
      </c>
      <c r="BL31" s="12">
        <f>'Raw Data'!DL39/$C31</f>
        <v>0.3</v>
      </c>
      <c r="BM31" s="12">
        <f>'Raw Data'!DT39/$C31</f>
        <v>0.1</v>
      </c>
      <c r="BN31" s="22">
        <f>'Raw Data'!DQ39/$C31</f>
        <v>0.2</v>
      </c>
      <c r="BO31" s="22">
        <f>'Raw Data'!DI39/$C31</f>
        <v>0.2</v>
      </c>
      <c r="BP31" s="22">
        <f>'Raw Data'!DM39/$C31</f>
        <v>0.6</v>
      </c>
      <c r="BQ31" s="22">
        <f>'Raw Data'!DU39/$C31</f>
        <v>0.1</v>
      </c>
      <c r="BR31" s="17">
        <f>'Raw Data'!DR39/$C31</f>
        <v>0</v>
      </c>
      <c r="BS31" s="17">
        <f>'Raw Data'!DJ39/$C31</f>
        <v>4</v>
      </c>
      <c r="BT31" s="17">
        <f>'Raw Data'!DN39/$C31</f>
        <v>0.2</v>
      </c>
      <c r="BU31" s="17">
        <f>'Raw Data'!DV39/$C31</f>
        <v>0.7</v>
      </c>
      <c r="BV31" s="12">
        <f>'Raw Data'!EM39</f>
        <v>3.1</v>
      </c>
      <c r="BW31" s="13">
        <f>'Raw Data'!EN39</f>
        <v>2</v>
      </c>
      <c r="BX31" s="13">
        <f>'Raw Data'!CC39</f>
        <v>0</v>
      </c>
      <c r="BY31" s="13">
        <f>SUM(AR31:AS31)</f>
        <v>7.3</v>
      </c>
    </row>
    <row r="32" spans="1:77" x14ac:dyDescent="0.25">
      <c r="A32" s="39">
        <f>'Raw Data'!A57</f>
        <v>6510</v>
      </c>
      <c r="B32" s="39" t="str">
        <f>'Raw Data'!B57</f>
        <v xml:space="preserve"> Pymble Pride</v>
      </c>
      <c r="C32" s="39">
        <f>'Raw Data'!C57</f>
        <v>10</v>
      </c>
      <c r="E32" s="57">
        <f>IF(_xlfn.IFNA(MATCH(A32,'Center Switch 2'!A:A, 0),0)&gt;0,1,0)</f>
        <v>1</v>
      </c>
      <c r="F32" s="57">
        <f>_xlfn.IFNA(VLOOKUP(A32,'Center Switch 2'!A:G,2,0),0)</f>
        <v>7</v>
      </c>
      <c r="G32" s="57">
        <f>_xlfn.IFNA(VLOOKUP(A32,'Center Switch 2'!A:G,4,0),0)</f>
        <v>6</v>
      </c>
      <c r="H32" s="57">
        <f>_xlfn.IFNA(VLOOKUP(A32,'Center Switch 2'!A:G,5,0),0)</f>
        <v>1</v>
      </c>
      <c r="I32" s="57">
        <f>_xlfn.IFNA(VLOOKUP(A32,'Center Switch 2'!A:G,6,0),0)</f>
        <v>0</v>
      </c>
      <c r="J32" s="57">
        <f>_xlfn.IFNA(VLOOKUP(A32,'Center Switch 2'!A:G,7,0),0)</f>
        <v>0</v>
      </c>
      <c r="K32" s="59">
        <f>AP32</f>
        <v>0.6</v>
      </c>
      <c r="L32" s="59">
        <f>AQ32</f>
        <v>0.4</v>
      </c>
      <c r="M32" s="59">
        <f>AS32</f>
        <v>3.1</v>
      </c>
      <c r="N32" s="59">
        <f>2*O32</f>
        <v>1</v>
      </c>
      <c r="O32" s="59">
        <f>AO32</f>
        <v>0.5</v>
      </c>
      <c r="P32" s="59">
        <f>AV32</f>
        <v>5.7</v>
      </c>
      <c r="Q32" s="59">
        <f>AU32</f>
        <v>5.7</v>
      </c>
      <c r="R32" s="59">
        <f>AL32</f>
        <v>4.5999999999999996</v>
      </c>
      <c r="S32" s="61">
        <f>'Raw Data'!CT57</f>
        <v>5.6859999999999999</v>
      </c>
      <c r="T32" s="61">
        <f>'Raw Data'!CR57</f>
        <v>7.75</v>
      </c>
      <c r="U32" s="61">
        <f>'Raw Data'!CW57</f>
        <v>6.375</v>
      </c>
      <c r="V32" s="61">
        <f>'Raw Data'!DA57</f>
        <v>0</v>
      </c>
      <c r="W32" s="61">
        <f>BV32</f>
        <v>2.9</v>
      </c>
      <c r="X32" s="39">
        <v>1</v>
      </c>
      <c r="Y32" s="39">
        <v>1.9</v>
      </c>
      <c r="Z32" s="39">
        <v>20</v>
      </c>
      <c r="AA32" s="39" t="s">
        <v>315</v>
      </c>
      <c r="AD32" s="12">
        <f>'Raw Data'!D57</f>
        <v>3</v>
      </c>
      <c r="AE32" s="13">
        <f>'Raw Data'!E57</f>
        <v>7</v>
      </c>
      <c r="AF32" s="13">
        <f>'Raw Data'!F57</f>
        <v>0</v>
      </c>
      <c r="AG32" s="13">
        <f>'Raw Data'!G57</f>
        <v>10</v>
      </c>
      <c r="AH32" s="13">
        <f>'Raw Data'!O57</f>
        <v>8</v>
      </c>
      <c r="AI32" s="13">
        <f>'Raw Data'!T57</f>
        <v>0</v>
      </c>
      <c r="AJ32" s="13">
        <f>'Raw Data'!Y57</f>
        <v>0</v>
      </c>
      <c r="AK32" s="13">
        <f>'Raw Data'!AD57</f>
        <v>0</v>
      </c>
      <c r="AL32" s="22">
        <f>'Raw Data'!BV57</f>
        <v>4.5999999999999996</v>
      </c>
      <c r="AM32" s="15">
        <f>'Raw Data'!BG57</f>
        <v>0.4</v>
      </c>
      <c r="AN32" s="15">
        <f>'Raw Data'!BL57</f>
        <v>0.1</v>
      </c>
      <c r="AO32" s="15">
        <f>AM32+AN32</f>
        <v>0.5</v>
      </c>
      <c r="AP32" s="15">
        <f>'Raw Data'!AW57</f>
        <v>0.6</v>
      </c>
      <c r="AQ32" s="15">
        <f>'Raw Data'!BB57</f>
        <v>0.4</v>
      </c>
      <c r="AR32" s="15">
        <f>AP32+AQ32</f>
        <v>1</v>
      </c>
      <c r="AS32" s="15">
        <f>'Raw Data'!BQ57</f>
        <v>3.1</v>
      </c>
      <c r="AT32" s="16">
        <f>'Raw Data'!BY57</f>
        <v>0.2</v>
      </c>
      <c r="AU32" s="26">
        <f>'Raw Data'!AI57</f>
        <v>5.7</v>
      </c>
      <c r="AV32" s="27">
        <f>SUM(AX32:AZ32)</f>
        <v>5.7</v>
      </c>
      <c r="AW32" s="27">
        <f>'Raw Data'!AN57</f>
        <v>0</v>
      </c>
      <c r="AX32" s="27">
        <f>'Raw Data'!AS57</f>
        <v>4</v>
      </c>
      <c r="AY32" s="27">
        <f>'Raw Data'!AU57</f>
        <v>1.5</v>
      </c>
      <c r="AZ32" s="27">
        <f>'Raw Data'!AL57</f>
        <v>0.2</v>
      </c>
      <c r="BA32" s="17">
        <f>'Raw Data'!CF57</f>
        <v>50</v>
      </c>
      <c r="BB32" s="18">
        <f>'Raw Data'!CJ57</f>
        <v>0</v>
      </c>
      <c r="BC32" s="18">
        <f>'Raw Data'!CM57</f>
        <v>0</v>
      </c>
      <c r="BD32" s="18">
        <f>'Raw Data'!CO57</f>
        <v>0</v>
      </c>
      <c r="BE32" s="19">
        <f>'Raw Data'!CP57</f>
        <v>3</v>
      </c>
      <c r="BF32" s="20">
        <f>'Raw Data'!DO57/$C32</f>
        <v>0</v>
      </c>
      <c r="BG32" s="20">
        <f>'Raw Data'!DG57/$C32</f>
        <v>0.1</v>
      </c>
      <c r="BH32" s="20">
        <f>'Raw Data'!DK57/$C32</f>
        <v>0.7</v>
      </c>
      <c r="BI32" s="20">
        <f>'Raw Data'!DS57/$C32</f>
        <v>0</v>
      </c>
      <c r="BJ32" s="12">
        <f>'Raw Data'!DP57/$C32</f>
        <v>0</v>
      </c>
      <c r="BK32" s="12">
        <f>'Raw Data'!DH57/$C32</f>
        <v>0.5</v>
      </c>
      <c r="BL32" s="12">
        <f>'Raw Data'!DL57/$C32</f>
        <v>0.2</v>
      </c>
      <c r="BM32" s="12">
        <f>'Raw Data'!DT57/$C32</f>
        <v>0</v>
      </c>
      <c r="BN32" s="22">
        <f>'Raw Data'!DQ57/$C32</f>
        <v>0</v>
      </c>
      <c r="BO32" s="22">
        <f>'Raw Data'!DI57/$C32</f>
        <v>0</v>
      </c>
      <c r="BP32" s="22">
        <f>'Raw Data'!DM57/$C32</f>
        <v>0.5</v>
      </c>
      <c r="BQ32" s="22">
        <f>'Raw Data'!DU57/$C32</f>
        <v>0.1</v>
      </c>
      <c r="BR32" s="17">
        <f>'Raw Data'!DR57/$C32</f>
        <v>0</v>
      </c>
      <c r="BS32" s="17">
        <f>'Raw Data'!DJ57/$C32</f>
        <v>2.5</v>
      </c>
      <c r="BT32" s="17">
        <f>'Raw Data'!DN57/$C32</f>
        <v>0.1</v>
      </c>
      <c r="BU32" s="17">
        <f>'Raw Data'!DV57/$C32</f>
        <v>0.4</v>
      </c>
      <c r="BV32" s="12">
        <f>'Raw Data'!EM57</f>
        <v>2.9</v>
      </c>
      <c r="BW32" s="13">
        <f>'Raw Data'!EN57</f>
        <v>0</v>
      </c>
      <c r="BX32" s="13">
        <f>'Raw Data'!CC57</f>
        <v>22</v>
      </c>
      <c r="BY32" s="13">
        <f>SUM(AR32:AS32)</f>
        <v>4.0999999999999996</v>
      </c>
    </row>
    <row r="33" spans="1:77" ht="14.25" customHeight="1" x14ac:dyDescent="0.25">
      <c r="A33">
        <f>'Raw Data'!A46</f>
        <v>5654</v>
      </c>
      <c r="B33" t="str">
        <f>'Raw Data'!B46</f>
        <v xml:space="preserve"> Phoenix</v>
      </c>
      <c r="C33">
        <f>'Raw Data'!C46</f>
        <v>10</v>
      </c>
      <c r="E33" s="57">
        <f>IF(_xlfn.IFNA(MATCH(A33,'Center Switch 2'!A:A, 0),0)&gt;0,1,0)</f>
        <v>1</v>
      </c>
      <c r="F33" s="57">
        <f>_xlfn.IFNA(VLOOKUP(A33,'Center Switch 2'!A:G,2,0),0)</f>
        <v>6</v>
      </c>
      <c r="G33" s="57">
        <f>_xlfn.IFNA(VLOOKUP(A33,'Center Switch 2'!A:G,4,0),0)</f>
        <v>3</v>
      </c>
      <c r="H33" s="57">
        <f>_xlfn.IFNA(VLOOKUP(A33,'Center Switch 2'!A:G,5,0),0)</f>
        <v>0.6</v>
      </c>
      <c r="I33" s="57">
        <f>_xlfn.IFNA(VLOOKUP(A33,'Center Switch 2'!A:G,6,0),0)</f>
        <v>2</v>
      </c>
      <c r="J33" s="57">
        <f>_xlfn.IFNA(VLOOKUP(A33,'Center Switch 2'!A:G,7,0),0)</f>
        <v>0.4</v>
      </c>
      <c r="K33" s="59">
        <f>AP33</f>
        <v>2.5</v>
      </c>
      <c r="L33" s="59">
        <f>AQ33</f>
        <v>0</v>
      </c>
      <c r="M33" s="59">
        <f>AS33</f>
        <v>7.9</v>
      </c>
      <c r="N33" s="59">
        <f>2*O33</f>
        <v>0</v>
      </c>
      <c r="O33" s="59">
        <f>AO33</f>
        <v>0</v>
      </c>
      <c r="P33" s="59">
        <f>AV33</f>
        <v>10.8</v>
      </c>
      <c r="Q33" s="59">
        <f>AU33</f>
        <v>10.8</v>
      </c>
      <c r="R33" s="59">
        <f>AL33</f>
        <v>10.4</v>
      </c>
      <c r="S33" s="61">
        <f>'Raw Data'!CT46</f>
        <v>5.1749999999999998</v>
      </c>
      <c r="T33" s="61">
        <f>'Raw Data'!CR46</f>
        <v>3.976</v>
      </c>
      <c r="U33" s="61">
        <f>'Raw Data'!CW46</f>
        <v>0</v>
      </c>
      <c r="V33" s="61">
        <f>'Raw Data'!DA46</f>
        <v>0</v>
      </c>
      <c r="W33" s="61">
        <f>BV33</f>
        <v>3.4</v>
      </c>
      <c r="X33" s="39">
        <v>2</v>
      </c>
      <c r="Y33" s="39">
        <v>2</v>
      </c>
      <c r="Z33" s="39">
        <v>21</v>
      </c>
      <c r="AA33" s="39" t="s">
        <v>309</v>
      </c>
      <c r="AD33" s="12">
        <f>'Raw Data'!D46</f>
        <v>2</v>
      </c>
      <c r="AE33" s="13">
        <f>'Raw Data'!E46</f>
        <v>6</v>
      </c>
      <c r="AF33" s="13">
        <f>'Raw Data'!F46</f>
        <v>2</v>
      </c>
      <c r="AG33" s="13">
        <f>'Raw Data'!G46</f>
        <v>10</v>
      </c>
      <c r="AH33" s="13">
        <f>'Raw Data'!O46</f>
        <v>4</v>
      </c>
      <c r="AI33" s="13">
        <f>'Raw Data'!T46</f>
        <v>0</v>
      </c>
      <c r="AJ33" s="13">
        <f>'Raw Data'!Y46</f>
        <v>0</v>
      </c>
      <c r="AK33" s="13">
        <f>'Raw Data'!AD46</f>
        <v>0</v>
      </c>
      <c r="AL33" s="22">
        <f>'Raw Data'!BV46</f>
        <v>10.4</v>
      </c>
      <c r="AM33" s="15">
        <f>'Raw Data'!BG46</f>
        <v>0</v>
      </c>
      <c r="AN33" s="15">
        <f>'Raw Data'!BL46</f>
        <v>0</v>
      </c>
      <c r="AO33" s="15">
        <f>AM33+AN33</f>
        <v>0</v>
      </c>
      <c r="AP33" s="15">
        <f>'Raw Data'!AW46</f>
        <v>2.5</v>
      </c>
      <c r="AQ33" s="15">
        <f>'Raw Data'!BB46</f>
        <v>0</v>
      </c>
      <c r="AR33" s="15">
        <f>AP33+AQ33</f>
        <v>2.5</v>
      </c>
      <c r="AS33" s="15">
        <f>'Raw Data'!BQ46</f>
        <v>7.9</v>
      </c>
      <c r="AT33" s="16">
        <f>'Raw Data'!BY46</f>
        <v>0.5</v>
      </c>
      <c r="AU33" s="26">
        <f>'Raw Data'!AI46</f>
        <v>10.8</v>
      </c>
      <c r="AV33" s="27">
        <f>SUM(AX33:AZ33)</f>
        <v>10.8</v>
      </c>
      <c r="AW33" s="27">
        <f>'Raw Data'!AN46</f>
        <v>0</v>
      </c>
      <c r="AX33" s="27">
        <f>'Raw Data'!AS46</f>
        <v>8.6</v>
      </c>
      <c r="AY33" s="27">
        <f>'Raw Data'!AU46</f>
        <v>0.9</v>
      </c>
      <c r="AZ33" s="27">
        <f>'Raw Data'!AL46</f>
        <v>1.3</v>
      </c>
      <c r="BA33" s="17">
        <f>'Raw Data'!CF46</f>
        <v>100</v>
      </c>
      <c r="BB33" s="18">
        <f>'Raw Data'!CJ46</f>
        <v>0</v>
      </c>
      <c r="BC33" s="18">
        <f>'Raw Data'!CM46</f>
        <v>0</v>
      </c>
      <c r="BD33" s="18">
        <f>'Raw Data'!CO46</f>
        <v>0</v>
      </c>
      <c r="BE33" s="19">
        <f>'Raw Data'!CP46</f>
        <v>1</v>
      </c>
      <c r="BF33" s="20">
        <f>'Raw Data'!DO46/$C33</f>
        <v>0</v>
      </c>
      <c r="BG33" s="20">
        <f>'Raw Data'!DG46/$C33</f>
        <v>0</v>
      </c>
      <c r="BH33" s="20">
        <f>'Raw Data'!DK46/$C33</f>
        <v>0</v>
      </c>
      <c r="BI33" s="20">
        <f>'Raw Data'!DS46/$C33</f>
        <v>0</v>
      </c>
      <c r="BJ33" s="12">
        <f>'Raw Data'!DP46/$C33</f>
        <v>0</v>
      </c>
      <c r="BK33" s="12">
        <f>'Raw Data'!DH46/$C33</f>
        <v>1.6</v>
      </c>
      <c r="BL33" s="12">
        <f>'Raw Data'!DL46/$C33</f>
        <v>0.7</v>
      </c>
      <c r="BM33" s="12">
        <f>'Raw Data'!DT46/$C33</f>
        <v>0</v>
      </c>
      <c r="BN33" s="22">
        <f>'Raw Data'!DQ46/$C33</f>
        <v>0</v>
      </c>
      <c r="BO33" s="22">
        <f>'Raw Data'!DI46/$C33</f>
        <v>0</v>
      </c>
      <c r="BP33" s="22">
        <f>'Raw Data'!DM46/$C33</f>
        <v>0</v>
      </c>
      <c r="BQ33" s="22">
        <f>'Raw Data'!DU46/$C33</f>
        <v>0</v>
      </c>
      <c r="BR33" s="17">
        <f>'Raw Data'!DR46/$C33</f>
        <v>0</v>
      </c>
      <c r="BS33" s="17">
        <f>'Raw Data'!DJ46/$C33</f>
        <v>7.4</v>
      </c>
      <c r="BT33" s="17">
        <f>'Raw Data'!DN46/$C33</f>
        <v>0.2</v>
      </c>
      <c r="BU33" s="17">
        <f>'Raw Data'!DV46/$C33</f>
        <v>0.2</v>
      </c>
      <c r="BV33" s="12">
        <f>'Raw Data'!EM46</f>
        <v>3.4</v>
      </c>
      <c r="BW33" s="13">
        <f>'Raw Data'!EN46</f>
        <v>0</v>
      </c>
      <c r="BX33" s="13">
        <f>'Raw Data'!CC46</f>
        <v>1</v>
      </c>
      <c r="BY33" s="13">
        <f>SUM(AR33:AS33)</f>
        <v>10.4</v>
      </c>
    </row>
    <row r="34" spans="1:77" x14ac:dyDescent="0.25">
      <c r="A34">
        <f>'Raw Data'!A54</f>
        <v>6424</v>
      </c>
      <c r="B34" t="str">
        <f>'Raw Data'!B54</f>
        <v xml:space="preserve"> Stealth Panther Robotics</v>
      </c>
      <c r="C34">
        <f>'Raw Data'!C54</f>
        <v>9</v>
      </c>
      <c r="E34" s="57">
        <f>IF(_xlfn.IFNA(MATCH(A34,'Center Switch 2'!A:A, 0),0)&gt;0,1,0)</f>
        <v>1</v>
      </c>
      <c r="F34" s="57">
        <f>_xlfn.IFNA(VLOOKUP(A34,'Center Switch 2'!A:G,2,0),0)</f>
        <v>2</v>
      </c>
      <c r="G34" s="57">
        <f>_xlfn.IFNA(VLOOKUP(A34,'Center Switch 2'!A:G,4,0),0)</f>
        <v>1</v>
      </c>
      <c r="H34" s="57">
        <f>_xlfn.IFNA(VLOOKUP(A34,'Center Switch 2'!A:G,5,0),0)</f>
        <v>0.5</v>
      </c>
      <c r="I34" s="57">
        <f>_xlfn.IFNA(VLOOKUP(A34,'Center Switch 2'!A:G,6,0),0)</f>
        <v>1</v>
      </c>
      <c r="J34" s="57">
        <f>_xlfn.IFNA(VLOOKUP(A34,'Center Switch 2'!A:G,7,0),0)</f>
        <v>0.5</v>
      </c>
      <c r="K34" s="59">
        <f>AP34</f>
        <v>1.778</v>
      </c>
      <c r="L34" s="59">
        <f>AQ34</f>
        <v>0.44400000000000001</v>
      </c>
      <c r="M34" s="59">
        <f>AS34</f>
        <v>4.1109999999999998</v>
      </c>
      <c r="N34" s="59">
        <f>2*O34</f>
        <v>3.5539999999999998</v>
      </c>
      <c r="O34" s="59">
        <f>AO34</f>
        <v>1.7769999999999999</v>
      </c>
      <c r="P34" s="59">
        <f>AV34</f>
        <v>7.7770000000000001</v>
      </c>
      <c r="Q34" s="59">
        <f>AU34</f>
        <v>8.1110000000000007</v>
      </c>
      <c r="R34" s="59">
        <f>AL34</f>
        <v>8.1110000000000007</v>
      </c>
      <c r="S34" s="61">
        <f>'Raw Data'!CT54</f>
        <v>3.863</v>
      </c>
      <c r="T34" s="61">
        <f>'Raw Data'!CR54</f>
        <v>4.5709999999999997</v>
      </c>
      <c r="U34" s="61">
        <f>'Raw Data'!CW54</f>
        <v>0</v>
      </c>
      <c r="V34" s="61">
        <f>'Raw Data'!DA54</f>
        <v>10.75</v>
      </c>
      <c r="W34" s="61">
        <f>BV34</f>
        <v>3.222</v>
      </c>
      <c r="X34" s="39">
        <v>2</v>
      </c>
      <c r="Y34" s="39">
        <v>2.1</v>
      </c>
      <c r="Z34" s="39">
        <v>22</v>
      </c>
      <c r="AA34" s="39" t="s">
        <v>309</v>
      </c>
      <c r="AD34" s="12">
        <f>'Raw Data'!D54</f>
        <v>3</v>
      </c>
      <c r="AE34" s="13">
        <f>'Raw Data'!E54</f>
        <v>2</v>
      </c>
      <c r="AF34" s="13">
        <f>'Raw Data'!F54</f>
        <v>3</v>
      </c>
      <c r="AG34" s="13">
        <f>'Raw Data'!G54</f>
        <v>7</v>
      </c>
      <c r="AH34" s="13">
        <f>'Raw Data'!O54</f>
        <v>1</v>
      </c>
      <c r="AI34" s="13">
        <f>'Raw Data'!T54</f>
        <v>0</v>
      </c>
      <c r="AJ34" s="13">
        <f>'Raw Data'!Y54</f>
        <v>0</v>
      </c>
      <c r="AK34" s="13">
        <f>'Raw Data'!AD54</f>
        <v>0</v>
      </c>
      <c r="AL34" s="22">
        <f>'Raw Data'!BV54</f>
        <v>8.1110000000000007</v>
      </c>
      <c r="AM34" s="15">
        <f>'Raw Data'!BG54</f>
        <v>1.444</v>
      </c>
      <c r="AN34" s="15">
        <f>'Raw Data'!BL54</f>
        <v>0.33300000000000002</v>
      </c>
      <c r="AO34" s="15">
        <f>AM34+AN34</f>
        <v>1.7769999999999999</v>
      </c>
      <c r="AP34" s="15">
        <f>'Raw Data'!AW54</f>
        <v>1.778</v>
      </c>
      <c r="AQ34" s="15">
        <f>'Raw Data'!BB54</f>
        <v>0.44400000000000001</v>
      </c>
      <c r="AR34" s="15">
        <f>AP34+AQ34</f>
        <v>2.222</v>
      </c>
      <c r="AS34" s="15">
        <f>'Raw Data'!BQ54</f>
        <v>4.1109999999999998</v>
      </c>
      <c r="AT34" s="16">
        <f>'Raw Data'!BY54</f>
        <v>0.222</v>
      </c>
      <c r="AU34" s="26">
        <f>'Raw Data'!AI54</f>
        <v>8.1110000000000007</v>
      </c>
      <c r="AV34" s="27">
        <f>SUM(AX34:AZ34)</f>
        <v>7.7770000000000001</v>
      </c>
      <c r="AW34" s="27">
        <f>'Raw Data'!AN54</f>
        <v>0.33300000000000002</v>
      </c>
      <c r="AX34" s="27">
        <f>'Raw Data'!AS54</f>
        <v>5.2220000000000004</v>
      </c>
      <c r="AY34" s="27">
        <f>'Raw Data'!AU54</f>
        <v>1.111</v>
      </c>
      <c r="AZ34" s="27">
        <f>'Raw Data'!AL54</f>
        <v>1.444</v>
      </c>
      <c r="BA34" s="17">
        <f>'Raw Data'!CF54</f>
        <v>100</v>
      </c>
      <c r="BB34" s="18">
        <f>'Raw Data'!CJ54</f>
        <v>0</v>
      </c>
      <c r="BC34" s="18">
        <f>'Raw Data'!CM54</f>
        <v>0</v>
      </c>
      <c r="BD34" s="18">
        <f>'Raw Data'!CO54</f>
        <v>0</v>
      </c>
      <c r="BE34" s="19">
        <f>'Raw Data'!CP54</f>
        <v>2</v>
      </c>
      <c r="BF34" s="20">
        <f>'Raw Data'!DO54/$C34</f>
        <v>0</v>
      </c>
      <c r="BG34" s="20">
        <f>'Raw Data'!DG54/$C34</f>
        <v>0</v>
      </c>
      <c r="BH34" s="20">
        <f>'Raw Data'!DK54/$C34</f>
        <v>0.88888888888888884</v>
      </c>
      <c r="BI34" s="20">
        <f>'Raw Data'!DS54/$C34</f>
        <v>1.1111111111111112</v>
      </c>
      <c r="BJ34" s="12">
        <f>'Raw Data'!DP54/$C34</f>
        <v>0</v>
      </c>
      <c r="BK34" s="12">
        <f>'Raw Data'!DH54/$C34</f>
        <v>1.2222222222222223</v>
      </c>
      <c r="BL34" s="12">
        <f>'Raw Data'!DL54/$C34</f>
        <v>0.22222222222222221</v>
      </c>
      <c r="BM34" s="12">
        <f>'Raw Data'!DT54/$C34</f>
        <v>0.1111111111111111</v>
      </c>
      <c r="BN34" s="22">
        <f>'Raw Data'!DQ54/$C34</f>
        <v>0.33333333333333331</v>
      </c>
      <c r="BO34" s="22">
        <f>'Raw Data'!DI54/$C34</f>
        <v>0.55555555555555558</v>
      </c>
      <c r="BP34" s="22">
        <f>'Raw Data'!DM54/$C34</f>
        <v>0</v>
      </c>
      <c r="BQ34" s="22">
        <f>'Raw Data'!DU54/$C34</f>
        <v>0.1111111111111111</v>
      </c>
      <c r="BR34" s="17">
        <f>'Raw Data'!DR54/$C34</f>
        <v>0</v>
      </c>
      <c r="BS34" s="17">
        <f>'Raw Data'!DJ54/$C34</f>
        <v>2.7777777777777777</v>
      </c>
      <c r="BT34" s="17">
        <f>'Raw Data'!DN54/$C34</f>
        <v>0.1111111111111111</v>
      </c>
      <c r="BU34" s="17">
        <f>'Raw Data'!DV54/$C34</f>
        <v>0.1111111111111111</v>
      </c>
      <c r="BV34" s="12">
        <f>'Raw Data'!EM54</f>
        <v>3.222</v>
      </c>
      <c r="BW34" s="13">
        <f>'Raw Data'!EN54</f>
        <v>0</v>
      </c>
      <c r="BX34" s="13">
        <f>'Raw Data'!CC54</f>
        <v>22</v>
      </c>
      <c r="BY34" s="13">
        <f>SUM(AR34:AS34)</f>
        <v>6.3330000000000002</v>
      </c>
    </row>
    <row r="35" spans="1:77" x14ac:dyDescent="0.25">
      <c r="A35">
        <f>'Raw Data'!A52</f>
        <v>5997</v>
      </c>
      <c r="B35" t="str">
        <f>'Raw Data'!B52</f>
        <v xml:space="preserve"> Knightling Boltz</v>
      </c>
      <c r="C35">
        <f>'Raw Data'!C52</f>
        <v>9</v>
      </c>
      <c r="E35" s="57">
        <f>IF(_xlfn.IFNA(MATCH(A35,'Center Switch 2'!A:A, 0),0)&gt;0,1,0)</f>
        <v>1</v>
      </c>
      <c r="F35" s="57">
        <f>_xlfn.IFNA(VLOOKUP(A35,'Center Switch 2'!A:G,2,0),0)</f>
        <v>4</v>
      </c>
      <c r="G35" s="57">
        <f>_xlfn.IFNA(VLOOKUP(A35,'Center Switch 2'!A:G,4,0),0)</f>
        <v>1</v>
      </c>
      <c r="H35" s="57">
        <f>_xlfn.IFNA(VLOOKUP(A35,'Center Switch 2'!A:G,5,0),0)</f>
        <v>0.5</v>
      </c>
      <c r="I35" s="57">
        <f>_xlfn.IFNA(VLOOKUP(A35,'Center Switch 2'!A:G,6,0),0)</f>
        <v>1</v>
      </c>
      <c r="J35" s="57">
        <f>_xlfn.IFNA(VLOOKUP(A35,'Center Switch 2'!A:G,7,0),0)</f>
        <v>0.5</v>
      </c>
      <c r="K35" s="59">
        <f>AP35</f>
        <v>0.44400000000000001</v>
      </c>
      <c r="L35" s="59">
        <f>AQ35</f>
        <v>0</v>
      </c>
      <c r="M35" s="59">
        <f>AS35</f>
        <v>7.1109999999999998</v>
      </c>
      <c r="N35" s="59">
        <f>2*O35</f>
        <v>0</v>
      </c>
      <c r="O35" s="59">
        <f>AO35</f>
        <v>0</v>
      </c>
      <c r="P35" s="59">
        <f>AV35</f>
        <v>6.6669999999999998</v>
      </c>
      <c r="Q35" s="59">
        <f>AU35</f>
        <v>7</v>
      </c>
      <c r="R35" s="59">
        <f>AL35</f>
        <v>7.556</v>
      </c>
      <c r="S35" s="61">
        <f>'Raw Data'!CT52</f>
        <v>5.3979999999999997</v>
      </c>
      <c r="T35" s="61">
        <f>'Raw Data'!CR52</f>
        <v>0</v>
      </c>
      <c r="U35" s="61">
        <f>'Raw Data'!CW52</f>
        <v>0</v>
      </c>
      <c r="V35" s="61">
        <f>'Raw Data'!DA52</f>
        <v>0</v>
      </c>
      <c r="W35" s="61">
        <f>BV35</f>
        <v>2.8889999999999998</v>
      </c>
      <c r="X35" s="39">
        <v>2</v>
      </c>
      <c r="Y35" s="39">
        <v>2.2000000000000002</v>
      </c>
      <c r="Z35" s="39">
        <v>23</v>
      </c>
      <c r="AA35" s="39" t="s">
        <v>309</v>
      </c>
      <c r="AD35" s="12">
        <f>'Raw Data'!D52</f>
        <v>2</v>
      </c>
      <c r="AE35" s="13">
        <f>'Raw Data'!E52</f>
        <v>4</v>
      </c>
      <c r="AF35" s="13">
        <f>'Raw Data'!F52</f>
        <v>3</v>
      </c>
      <c r="AG35" s="13">
        <f>'Raw Data'!G52</f>
        <v>7</v>
      </c>
      <c r="AH35" s="13">
        <f>'Raw Data'!O52</f>
        <v>1</v>
      </c>
      <c r="AI35" s="13">
        <f>'Raw Data'!T52</f>
        <v>0</v>
      </c>
      <c r="AJ35" s="13">
        <f>'Raw Data'!Y52</f>
        <v>0</v>
      </c>
      <c r="AK35" s="13">
        <f>'Raw Data'!AD52</f>
        <v>0</v>
      </c>
      <c r="AL35" s="22">
        <f>'Raw Data'!BV52</f>
        <v>7.556</v>
      </c>
      <c r="AM35" s="15">
        <f>'Raw Data'!BG52</f>
        <v>0</v>
      </c>
      <c r="AN35" s="15">
        <f>'Raw Data'!BL52</f>
        <v>0</v>
      </c>
      <c r="AO35" s="15">
        <f>AM35+AN35</f>
        <v>0</v>
      </c>
      <c r="AP35" s="15">
        <f>'Raw Data'!AW52</f>
        <v>0.44400000000000001</v>
      </c>
      <c r="AQ35" s="15">
        <f>'Raw Data'!BB52</f>
        <v>0</v>
      </c>
      <c r="AR35" s="15">
        <f>AP35+AQ35</f>
        <v>0.44400000000000001</v>
      </c>
      <c r="AS35" s="15">
        <f>'Raw Data'!BQ52</f>
        <v>7.1109999999999998</v>
      </c>
      <c r="AT35" s="16">
        <f>'Raw Data'!BY52</f>
        <v>0.33300000000000002</v>
      </c>
      <c r="AU35" s="26">
        <f>'Raw Data'!AI52</f>
        <v>7</v>
      </c>
      <c r="AV35" s="27">
        <f>SUM(AX35:AZ35)</f>
        <v>6.6669999999999998</v>
      </c>
      <c r="AW35" s="27">
        <f>'Raw Data'!AN52</f>
        <v>0.33300000000000002</v>
      </c>
      <c r="AX35" s="27">
        <f>'Raw Data'!AS52</f>
        <v>5</v>
      </c>
      <c r="AY35" s="27">
        <f>'Raw Data'!AU52</f>
        <v>0.111</v>
      </c>
      <c r="AZ35" s="27">
        <f>'Raw Data'!AL52</f>
        <v>1.556</v>
      </c>
      <c r="BA35" s="17">
        <f>'Raw Data'!CF52</f>
        <v>0</v>
      </c>
      <c r="BB35" s="18">
        <f>'Raw Data'!CJ52</f>
        <v>0</v>
      </c>
      <c r="BC35" s="18">
        <f>'Raw Data'!CM52</f>
        <v>0</v>
      </c>
      <c r="BD35" s="18">
        <f>'Raw Data'!CO52</f>
        <v>0</v>
      </c>
      <c r="BE35" s="19">
        <f>'Raw Data'!CP52</f>
        <v>6</v>
      </c>
      <c r="BF35" s="20">
        <f>'Raw Data'!DO52/$C35</f>
        <v>0</v>
      </c>
      <c r="BG35" s="20">
        <f>'Raw Data'!DG52/$C35</f>
        <v>0</v>
      </c>
      <c r="BH35" s="20">
        <f>'Raw Data'!DK52/$C35</f>
        <v>0</v>
      </c>
      <c r="BI35" s="20">
        <f>'Raw Data'!DS52/$C35</f>
        <v>0</v>
      </c>
      <c r="BJ35" s="12">
        <f>'Raw Data'!DP52/$C35</f>
        <v>0.1111111111111111</v>
      </c>
      <c r="BK35" s="12">
        <f>'Raw Data'!DH52/$C35</f>
        <v>0</v>
      </c>
      <c r="BL35" s="12">
        <f>'Raw Data'!DL52/$C35</f>
        <v>0</v>
      </c>
      <c r="BM35" s="12">
        <f>'Raw Data'!DT52/$C35</f>
        <v>0</v>
      </c>
      <c r="BN35" s="22">
        <f>'Raw Data'!DQ52/$C35</f>
        <v>0</v>
      </c>
      <c r="BO35" s="22">
        <f>'Raw Data'!DI52/$C35</f>
        <v>0</v>
      </c>
      <c r="BP35" s="22">
        <f>'Raw Data'!DM52/$C35</f>
        <v>0</v>
      </c>
      <c r="BQ35" s="22">
        <f>'Raw Data'!DU52/$C35</f>
        <v>0</v>
      </c>
      <c r="BR35" s="17">
        <f>'Raw Data'!DR52/$C35</f>
        <v>0</v>
      </c>
      <c r="BS35" s="17">
        <f>'Raw Data'!DJ52/$C35</f>
        <v>6</v>
      </c>
      <c r="BT35" s="17">
        <f>'Raw Data'!DN52/$C35</f>
        <v>0</v>
      </c>
      <c r="BU35" s="17">
        <f>'Raw Data'!DV52/$C35</f>
        <v>1</v>
      </c>
      <c r="BV35" s="12">
        <f>'Raw Data'!EM52</f>
        <v>2.8889999999999998</v>
      </c>
      <c r="BW35" s="13">
        <f>'Raw Data'!EN52</f>
        <v>1.5</v>
      </c>
      <c r="BX35" s="13">
        <f>'Raw Data'!CC52</f>
        <v>0</v>
      </c>
      <c r="BY35" s="13">
        <f>SUM(AR35:AS35)</f>
        <v>7.5549999999999997</v>
      </c>
    </row>
    <row r="36" spans="1:77" x14ac:dyDescent="0.25">
      <c r="A36">
        <f>'Raw Data'!A50</f>
        <v>5802</v>
      </c>
      <c r="B36" t="str">
        <f>'Raw Data'!B50</f>
        <v xml:space="preserve"> Los STEMateros</v>
      </c>
      <c r="C36">
        <f>'Raw Data'!C50</f>
        <v>10</v>
      </c>
      <c r="E36" s="57">
        <f>IF(_xlfn.IFNA(MATCH(A36,'Center Switch 2'!A:A, 0),0)&gt;0,1,0)</f>
        <v>1</v>
      </c>
      <c r="F36" s="57">
        <f>_xlfn.IFNA(VLOOKUP(A36,'Center Switch 2'!A:G,2,0),0)</f>
        <v>2</v>
      </c>
      <c r="G36" s="57">
        <f>_xlfn.IFNA(VLOOKUP(A36,'Center Switch 2'!A:G,4,0),0)</f>
        <v>1</v>
      </c>
      <c r="H36" s="57">
        <f>_xlfn.IFNA(VLOOKUP(A36,'Center Switch 2'!A:G,5,0),0)</f>
        <v>1</v>
      </c>
      <c r="I36" s="57">
        <f>_xlfn.IFNA(VLOOKUP(A36,'Center Switch 2'!A:G,6,0),0)</f>
        <v>0</v>
      </c>
      <c r="J36" s="57">
        <f>_xlfn.IFNA(VLOOKUP(A36,'Center Switch 2'!A:G,7,0),0)</f>
        <v>0</v>
      </c>
      <c r="K36" s="59">
        <f>AP36</f>
        <v>0.7</v>
      </c>
      <c r="L36" s="59">
        <f>AQ36</f>
        <v>0.7</v>
      </c>
      <c r="M36" s="59">
        <f>AS36</f>
        <v>1.2</v>
      </c>
      <c r="N36" s="59">
        <f>2*O36</f>
        <v>6.4</v>
      </c>
      <c r="O36" s="59">
        <f>AO36</f>
        <v>3.2</v>
      </c>
      <c r="P36" s="59">
        <f>AV36</f>
        <v>5.1000000000000005</v>
      </c>
      <c r="Q36" s="59">
        <f>AU36</f>
        <v>6</v>
      </c>
      <c r="R36" s="59">
        <f>AL36</f>
        <v>5.8</v>
      </c>
      <c r="S36" s="61">
        <f>'Raw Data'!CT50</f>
        <v>7.5709999999999997</v>
      </c>
      <c r="T36" s="61">
        <f>'Raw Data'!CR50</f>
        <v>3.1669999999999998</v>
      </c>
      <c r="U36" s="61">
        <f>'Raw Data'!CW50</f>
        <v>2.6</v>
      </c>
      <c r="V36" s="61">
        <f>'Raw Data'!DA50</f>
        <v>5.5</v>
      </c>
      <c r="W36" s="61">
        <f>BV36</f>
        <v>2.9</v>
      </c>
      <c r="X36" s="39">
        <v>2</v>
      </c>
      <c r="Y36" s="39">
        <v>2.8</v>
      </c>
      <c r="Z36" s="39">
        <v>24</v>
      </c>
      <c r="AD36" s="12">
        <f>'Raw Data'!D50</f>
        <v>1</v>
      </c>
      <c r="AE36" s="13">
        <f>'Raw Data'!E50</f>
        <v>2</v>
      </c>
      <c r="AF36" s="13">
        <f>'Raw Data'!F50</f>
        <v>6</v>
      </c>
      <c r="AG36" s="13">
        <f>'Raw Data'!G50</f>
        <v>8</v>
      </c>
      <c r="AH36" s="13">
        <f>'Raw Data'!O50</f>
        <v>1</v>
      </c>
      <c r="AI36" s="13">
        <f>'Raw Data'!T50</f>
        <v>1</v>
      </c>
      <c r="AJ36" s="13">
        <f>'Raw Data'!Y50</f>
        <v>0</v>
      </c>
      <c r="AK36" s="13">
        <f>'Raw Data'!AD50</f>
        <v>0</v>
      </c>
      <c r="AL36" s="22">
        <f>'Raw Data'!BV50</f>
        <v>5.8</v>
      </c>
      <c r="AM36" s="15">
        <f>'Raw Data'!BG50</f>
        <v>1.4</v>
      </c>
      <c r="AN36" s="15">
        <f>'Raw Data'!BL50</f>
        <v>1.8</v>
      </c>
      <c r="AO36" s="15">
        <f>AM36+AN36</f>
        <v>3.2</v>
      </c>
      <c r="AP36" s="15">
        <f>'Raw Data'!AW50</f>
        <v>0.7</v>
      </c>
      <c r="AQ36" s="15">
        <f>'Raw Data'!BB50</f>
        <v>0.7</v>
      </c>
      <c r="AR36" s="15">
        <f>AP36+AQ36</f>
        <v>1.4</v>
      </c>
      <c r="AS36" s="15">
        <f>'Raw Data'!BQ50</f>
        <v>1.2</v>
      </c>
      <c r="AT36" s="16">
        <f>'Raw Data'!BY50</f>
        <v>0.1</v>
      </c>
      <c r="AU36" s="26">
        <f>'Raw Data'!AI50</f>
        <v>6</v>
      </c>
      <c r="AV36" s="27">
        <f>SUM(AX36:AZ36)</f>
        <v>5.1000000000000005</v>
      </c>
      <c r="AW36" s="27">
        <f>'Raw Data'!AN50</f>
        <v>0.9</v>
      </c>
      <c r="AX36" s="27">
        <f>'Raw Data'!AS50</f>
        <v>1.5</v>
      </c>
      <c r="AY36" s="27">
        <f>'Raw Data'!AU50</f>
        <v>2.7</v>
      </c>
      <c r="AZ36" s="27">
        <f>'Raw Data'!AL50</f>
        <v>0.9</v>
      </c>
      <c r="BA36" s="17">
        <f>'Raw Data'!CF50</f>
        <v>100</v>
      </c>
      <c r="BB36" s="18">
        <f>'Raw Data'!CJ50</f>
        <v>0</v>
      </c>
      <c r="BC36" s="18">
        <f>'Raw Data'!CM50</f>
        <v>0</v>
      </c>
      <c r="BD36" s="18">
        <f>'Raw Data'!CO50</f>
        <v>0</v>
      </c>
      <c r="BE36" s="19">
        <f>'Raw Data'!CP50</f>
        <v>2</v>
      </c>
      <c r="BF36" s="20">
        <f>'Raw Data'!DO50/$C36</f>
        <v>0.3</v>
      </c>
      <c r="BG36" s="20">
        <f>'Raw Data'!DG50/$C36</f>
        <v>0.1</v>
      </c>
      <c r="BH36" s="20">
        <f>'Raw Data'!DK50/$C36</f>
        <v>2.2999999999999998</v>
      </c>
      <c r="BI36" s="20">
        <f>'Raw Data'!DS50/$C36</f>
        <v>0.2</v>
      </c>
      <c r="BJ36" s="12">
        <f>'Raw Data'!DP50/$C36</f>
        <v>0.1</v>
      </c>
      <c r="BK36" s="12">
        <f>'Raw Data'!DH50/$C36</f>
        <v>0.5</v>
      </c>
      <c r="BL36" s="12">
        <f>'Raw Data'!DL50/$C36</f>
        <v>0</v>
      </c>
      <c r="BM36" s="12">
        <f>'Raw Data'!DT50/$C36</f>
        <v>0</v>
      </c>
      <c r="BN36" s="22">
        <f>'Raw Data'!DQ50/$C36</f>
        <v>0.3</v>
      </c>
      <c r="BO36" s="22">
        <f>'Raw Data'!DI50/$C36</f>
        <v>0.1</v>
      </c>
      <c r="BP36" s="22">
        <f>'Raw Data'!DM50/$C36</f>
        <v>0.5</v>
      </c>
      <c r="BQ36" s="22">
        <f>'Raw Data'!DU50/$C36</f>
        <v>0.1</v>
      </c>
      <c r="BR36" s="17">
        <f>'Raw Data'!DR50/$C36</f>
        <v>0</v>
      </c>
      <c r="BS36" s="17">
        <f>'Raw Data'!DJ50/$C36</f>
        <v>1</v>
      </c>
      <c r="BT36" s="17">
        <f>'Raw Data'!DN50/$C36</f>
        <v>0</v>
      </c>
      <c r="BU36" s="17">
        <f>'Raw Data'!DV50/$C36</f>
        <v>0.1</v>
      </c>
      <c r="BV36" s="12">
        <f>'Raw Data'!EM50</f>
        <v>2.9</v>
      </c>
      <c r="BW36" s="13">
        <f>'Raw Data'!EN50</f>
        <v>1.5</v>
      </c>
      <c r="BX36" s="13">
        <f>'Raw Data'!CC50</f>
        <v>22</v>
      </c>
      <c r="BY36" s="13">
        <f>SUM(AR36:AS36)</f>
        <v>2.5999999999999996</v>
      </c>
    </row>
    <row r="37" spans="1:77" x14ac:dyDescent="0.25">
      <c r="A37">
        <f>'Raw Data'!A26</f>
        <v>3158</v>
      </c>
      <c r="B37" t="str">
        <f>'Raw Data'!B26</f>
        <v xml:space="preserve"> TECBOT</v>
      </c>
      <c r="C37">
        <f>'Raw Data'!C26</f>
        <v>9</v>
      </c>
      <c r="E37" s="57">
        <f>IF(_xlfn.IFNA(MATCH(A37,'Center Switch 2'!A:A, 0),0)&gt;0,1,0)</f>
        <v>1</v>
      </c>
      <c r="F37" s="57">
        <f>_xlfn.IFNA(VLOOKUP(A37,'Center Switch 2'!A:G,2,0),0)</f>
        <v>3</v>
      </c>
      <c r="G37" s="57">
        <f>_xlfn.IFNA(VLOOKUP(A37,'Center Switch 2'!A:G,4,0),0)</f>
        <v>3</v>
      </c>
      <c r="H37" s="57">
        <f>_xlfn.IFNA(VLOOKUP(A37,'Center Switch 2'!A:G,5,0),0)</f>
        <v>1</v>
      </c>
      <c r="I37" s="57">
        <f>_xlfn.IFNA(VLOOKUP(A37,'Center Switch 2'!A:G,6,0),0)</f>
        <v>0</v>
      </c>
      <c r="J37" s="57">
        <f>_xlfn.IFNA(VLOOKUP(A37,'Center Switch 2'!A:G,7,0),0)</f>
        <v>0</v>
      </c>
      <c r="K37" s="59">
        <f>AP37</f>
        <v>1.111</v>
      </c>
      <c r="L37" s="59">
        <f>AQ37</f>
        <v>1</v>
      </c>
      <c r="M37" s="59">
        <f>AS37</f>
        <v>2.444</v>
      </c>
      <c r="N37" s="59">
        <f>2*O37</f>
        <v>0</v>
      </c>
      <c r="O37" s="59">
        <f>AO37</f>
        <v>0</v>
      </c>
      <c r="P37" s="59">
        <f>AV37</f>
        <v>5.1109999999999998</v>
      </c>
      <c r="Q37" s="59">
        <f>AU37</f>
        <v>5.1109999999999998</v>
      </c>
      <c r="R37" s="59">
        <f>AL37</f>
        <v>4.556</v>
      </c>
      <c r="S37" s="61">
        <f>'Raw Data'!CT26</f>
        <v>6.8609999999999998</v>
      </c>
      <c r="T37" s="61">
        <f>'Raw Data'!CR26</f>
        <v>3.556</v>
      </c>
      <c r="U37" s="61">
        <f>'Raw Data'!CW26</f>
        <v>8.7780000000000005</v>
      </c>
      <c r="V37" s="61">
        <f>'Raw Data'!DA26</f>
        <v>0</v>
      </c>
      <c r="W37" s="61">
        <f>BV37</f>
        <v>2.222</v>
      </c>
      <c r="X37" s="39">
        <v>2</v>
      </c>
      <c r="Y37" s="39">
        <v>2.94</v>
      </c>
      <c r="Z37" s="39">
        <v>25</v>
      </c>
      <c r="AD37" s="12">
        <f>'Raw Data'!D26</f>
        <v>3</v>
      </c>
      <c r="AE37" s="13">
        <f>'Raw Data'!E26</f>
        <v>3</v>
      </c>
      <c r="AF37" s="13">
        <f>'Raw Data'!F26</f>
        <v>3</v>
      </c>
      <c r="AG37" s="13">
        <f>'Raw Data'!G26</f>
        <v>7</v>
      </c>
      <c r="AH37" s="13">
        <f>'Raw Data'!O26</f>
        <v>5</v>
      </c>
      <c r="AI37" s="13">
        <f>'Raw Data'!T26</f>
        <v>0</v>
      </c>
      <c r="AJ37" s="13">
        <f>'Raw Data'!Y26</f>
        <v>0</v>
      </c>
      <c r="AK37" s="13">
        <f>'Raw Data'!AD26</f>
        <v>0</v>
      </c>
      <c r="AL37" s="22">
        <f>'Raw Data'!BV26</f>
        <v>4.556</v>
      </c>
      <c r="AM37" s="15">
        <f>'Raw Data'!BG26</f>
        <v>0</v>
      </c>
      <c r="AN37" s="15">
        <f>'Raw Data'!BL26</f>
        <v>0</v>
      </c>
      <c r="AO37" s="15">
        <f>AM37+AN37</f>
        <v>0</v>
      </c>
      <c r="AP37" s="15">
        <f>'Raw Data'!AW26</f>
        <v>1.111</v>
      </c>
      <c r="AQ37" s="15">
        <f>'Raw Data'!BB26</f>
        <v>1</v>
      </c>
      <c r="AR37" s="15">
        <f>AP37+AQ37</f>
        <v>2.1109999999999998</v>
      </c>
      <c r="AS37" s="15">
        <f>'Raw Data'!BQ26</f>
        <v>2.444</v>
      </c>
      <c r="AT37" s="16">
        <f>'Raw Data'!BY26</f>
        <v>0.33300000000000002</v>
      </c>
      <c r="AU37" s="26">
        <f>'Raw Data'!AI26</f>
        <v>5.1109999999999998</v>
      </c>
      <c r="AV37" s="27">
        <f>SUM(AX37:AZ37)</f>
        <v>5.1109999999999998</v>
      </c>
      <c r="AW37" s="27">
        <f>'Raw Data'!AN26</f>
        <v>0</v>
      </c>
      <c r="AX37" s="27">
        <f>'Raw Data'!AS26</f>
        <v>3.222</v>
      </c>
      <c r="AY37" s="27">
        <f>'Raw Data'!AU26</f>
        <v>1.222</v>
      </c>
      <c r="AZ37" s="27">
        <f>'Raw Data'!AL26</f>
        <v>0.66700000000000004</v>
      </c>
      <c r="BA37" s="17">
        <f>'Raw Data'!CF26</f>
        <v>0</v>
      </c>
      <c r="BB37" s="18">
        <f>'Raw Data'!CJ26</f>
        <v>0</v>
      </c>
      <c r="BC37" s="18">
        <f>'Raw Data'!CM26</f>
        <v>0</v>
      </c>
      <c r="BD37" s="18">
        <f>'Raw Data'!CO26</f>
        <v>0</v>
      </c>
      <c r="BE37" s="19">
        <f>'Raw Data'!CP26</f>
        <v>1</v>
      </c>
      <c r="BF37" s="20">
        <f>'Raw Data'!DO26/$C37</f>
        <v>0</v>
      </c>
      <c r="BG37" s="20">
        <f>'Raw Data'!DG26/$C37</f>
        <v>0</v>
      </c>
      <c r="BH37" s="20">
        <f>'Raw Data'!DK26/$C37</f>
        <v>0</v>
      </c>
      <c r="BI37" s="20">
        <f>'Raw Data'!DS26/$C37</f>
        <v>0</v>
      </c>
      <c r="BJ37" s="12">
        <f>'Raw Data'!DP26/$C37</f>
        <v>0</v>
      </c>
      <c r="BK37" s="12">
        <f>'Raw Data'!DH26/$C37</f>
        <v>0.55555555555555558</v>
      </c>
      <c r="BL37" s="12">
        <f>'Raw Data'!DL26/$C37</f>
        <v>0.44444444444444442</v>
      </c>
      <c r="BM37" s="12">
        <f>'Raw Data'!DT26/$C37</f>
        <v>0.1111111111111111</v>
      </c>
      <c r="BN37" s="22">
        <f>'Raw Data'!DQ26/$C37</f>
        <v>0</v>
      </c>
      <c r="BO37" s="22">
        <f>'Raw Data'!DI26/$C37</f>
        <v>0</v>
      </c>
      <c r="BP37" s="22">
        <f>'Raw Data'!DM26/$C37</f>
        <v>0.66666666666666663</v>
      </c>
      <c r="BQ37" s="22">
        <f>'Raw Data'!DU26/$C37</f>
        <v>0.33333333333333331</v>
      </c>
      <c r="BR37" s="17">
        <f>'Raw Data'!DR26/$C37</f>
        <v>0</v>
      </c>
      <c r="BS37" s="17">
        <f>'Raw Data'!DJ26/$C37</f>
        <v>1.8888888888888888</v>
      </c>
      <c r="BT37" s="17">
        <f>'Raw Data'!DN26/$C37</f>
        <v>0.22222222222222221</v>
      </c>
      <c r="BU37" s="17">
        <f>'Raw Data'!DV26/$C37</f>
        <v>0.22222222222222221</v>
      </c>
      <c r="BV37" s="12">
        <f>'Raw Data'!EM26</f>
        <v>2.222</v>
      </c>
      <c r="BW37" s="13">
        <f>'Raw Data'!EN26</f>
        <v>0</v>
      </c>
      <c r="BX37" s="13">
        <f>'Raw Data'!CC26</f>
        <v>0</v>
      </c>
      <c r="BY37" s="13">
        <f>SUM(AR37:AS37)</f>
        <v>4.5549999999999997</v>
      </c>
    </row>
    <row r="38" spans="1:77" x14ac:dyDescent="0.25">
      <c r="A38">
        <f>'Raw Data'!A56</f>
        <v>6508</v>
      </c>
      <c r="B38" t="str">
        <f>'Raw Data'!B56</f>
        <v xml:space="preserve"> Hastings Heroes</v>
      </c>
      <c r="C38">
        <f>'Raw Data'!C56</f>
        <v>10</v>
      </c>
      <c r="E38" s="57">
        <f>IF(_xlfn.IFNA(MATCH(A38,'Center Switch 2'!A:A, 0),0)&gt;0,1,0)</f>
        <v>1</v>
      </c>
      <c r="F38" s="57">
        <f>_xlfn.IFNA(VLOOKUP(A38,'Center Switch 2'!A:G,2,0),0)</f>
        <v>7</v>
      </c>
      <c r="G38" s="57">
        <f>_xlfn.IFNA(VLOOKUP(A38,'Center Switch 2'!A:G,4,0),0)</f>
        <v>7</v>
      </c>
      <c r="H38" s="57">
        <f>_xlfn.IFNA(VLOOKUP(A38,'Center Switch 2'!A:G,5,0),0)</f>
        <v>1</v>
      </c>
      <c r="I38" s="57">
        <f>_xlfn.IFNA(VLOOKUP(A38,'Center Switch 2'!A:G,6,0),0)</f>
        <v>0</v>
      </c>
      <c r="J38" s="57">
        <f>_xlfn.IFNA(VLOOKUP(A38,'Center Switch 2'!A:G,7,0),0)</f>
        <v>0</v>
      </c>
      <c r="K38" s="59">
        <f>AP38</f>
        <v>1.3</v>
      </c>
      <c r="L38" s="59">
        <f>AQ38</f>
        <v>1</v>
      </c>
      <c r="M38" s="59">
        <f>AS38</f>
        <v>1.1000000000000001</v>
      </c>
      <c r="N38" s="59">
        <f>2*O38</f>
        <v>1.4</v>
      </c>
      <c r="O38" s="59">
        <f>AO38</f>
        <v>0.7</v>
      </c>
      <c r="P38" s="59">
        <f>AV38</f>
        <v>4.7</v>
      </c>
      <c r="Q38" s="59">
        <f>AU38</f>
        <v>5</v>
      </c>
      <c r="R38" s="59">
        <f>AL38</f>
        <v>4.0999999999999996</v>
      </c>
      <c r="S38" s="61">
        <f>'Raw Data'!CT56</f>
        <v>5.556</v>
      </c>
      <c r="T38" s="61">
        <f>'Raw Data'!CR56</f>
        <v>8.9169999999999998</v>
      </c>
      <c r="U38" s="61">
        <f>'Raw Data'!CW56</f>
        <v>7.0839999999999996</v>
      </c>
      <c r="V38" s="61">
        <f>'Raw Data'!DA56</f>
        <v>7.3330000000000002</v>
      </c>
      <c r="W38" s="61">
        <f>BV38</f>
        <v>2.7</v>
      </c>
      <c r="X38" s="39">
        <v>2</v>
      </c>
      <c r="Y38" s="39">
        <v>2.95</v>
      </c>
      <c r="Z38" s="39">
        <v>26</v>
      </c>
      <c r="AA38" s="39" t="s">
        <v>315</v>
      </c>
      <c r="AD38" s="12">
        <f>'Raw Data'!D56</f>
        <v>0</v>
      </c>
      <c r="AE38" s="13">
        <f>'Raw Data'!E56</f>
        <v>7</v>
      </c>
      <c r="AF38" s="13">
        <f>'Raw Data'!F56</f>
        <v>3</v>
      </c>
      <c r="AG38" s="13">
        <f>'Raw Data'!G56</f>
        <v>10</v>
      </c>
      <c r="AH38" s="13">
        <f>'Raw Data'!O56</f>
        <v>7</v>
      </c>
      <c r="AI38" s="13">
        <f>'Raw Data'!T56</f>
        <v>0</v>
      </c>
      <c r="AJ38" s="13">
        <f>'Raw Data'!Y56</f>
        <v>0</v>
      </c>
      <c r="AK38" s="13">
        <f>'Raw Data'!AD56</f>
        <v>0</v>
      </c>
      <c r="AL38" s="22">
        <f>'Raw Data'!BV56</f>
        <v>4.0999999999999996</v>
      </c>
      <c r="AM38" s="15">
        <f>'Raw Data'!BG56</f>
        <v>0.5</v>
      </c>
      <c r="AN38" s="15">
        <f>'Raw Data'!BL56</f>
        <v>0.2</v>
      </c>
      <c r="AO38" s="15">
        <f>AM38+AN38</f>
        <v>0.7</v>
      </c>
      <c r="AP38" s="15">
        <f>'Raw Data'!AW56</f>
        <v>1.3</v>
      </c>
      <c r="AQ38" s="15">
        <f>'Raw Data'!BB56</f>
        <v>1</v>
      </c>
      <c r="AR38" s="15">
        <f>AP38+AQ38</f>
        <v>2.2999999999999998</v>
      </c>
      <c r="AS38" s="15">
        <f>'Raw Data'!BQ56</f>
        <v>1.1000000000000001</v>
      </c>
      <c r="AT38" s="16">
        <f>'Raw Data'!BY56</f>
        <v>0.2</v>
      </c>
      <c r="AU38" s="26">
        <f>'Raw Data'!AI56</f>
        <v>5</v>
      </c>
      <c r="AV38" s="27">
        <f>SUM(AX38:AZ38)</f>
        <v>4.7</v>
      </c>
      <c r="AW38" s="27">
        <f>'Raw Data'!AN56</f>
        <v>0.3</v>
      </c>
      <c r="AX38" s="27">
        <f>'Raw Data'!AS56</f>
        <v>1.4</v>
      </c>
      <c r="AY38" s="27">
        <f>'Raw Data'!AU56</f>
        <v>1.6</v>
      </c>
      <c r="AZ38" s="27">
        <f>'Raw Data'!AL56</f>
        <v>1.7</v>
      </c>
      <c r="BA38" s="17">
        <f>'Raw Data'!CF56</f>
        <v>100</v>
      </c>
      <c r="BB38" s="18">
        <f>'Raw Data'!CJ56</f>
        <v>0</v>
      </c>
      <c r="BC38" s="18">
        <f>'Raw Data'!CM56</f>
        <v>0</v>
      </c>
      <c r="BD38" s="18">
        <f>'Raw Data'!CO56</f>
        <v>0</v>
      </c>
      <c r="BE38" s="19">
        <f>'Raw Data'!CP56</f>
        <v>1</v>
      </c>
      <c r="BF38" s="20">
        <f>'Raw Data'!DO56/$C38</f>
        <v>0</v>
      </c>
      <c r="BG38" s="20">
        <f>'Raw Data'!DG56/$C38</f>
        <v>0</v>
      </c>
      <c r="BH38" s="20">
        <f>'Raw Data'!DK56/$C38</f>
        <v>0.6</v>
      </c>
      <c r="BI38" s="20">
        <f>'Raw Data'!DS56/$C38</f>
        <v>0.5</v>
      </c>
      <c r="BJ38" s="12">
        <f>'Raw Data'!DP56/$C38</f>
        <v>0</v>
      </c>
      <c r="BK38" s="12">
        <f>'Raw Data'!DH56/$C38</f>
        <v>0.7</v>
      </c>
      <c r="BL38" s="12">
        <f>'Raw Data'!DL56/$C38</f>
        <v>0.4</v>
      </c>
      <c r="BM38" s="12">
        <f>'Raw Data'!DT56/$C38</f>
        <v>0.2</v>
      </c>
      <c r="BN38" s="22">
        <f>'Raw Data'!DQ56/$C38</f>
        <v>0.3</v>
      </c>
      <c r="BO38" s="22">
        <f>'Raw Data'!DI56/$C38</f>
        <v>0</v>
      </c>
      <c r="BP38" s="22">
        <f>'Raw Data'!DM56/$C38</f>
        <v>0.5</v>
      </c>
      <c r="BQ38" s="22">
        <f>'Raw Data'!DU56/$C38</f>
        <v>0</v>
      </c>
      <c r="BR38" s="17">
        <f>'Raw Data'!DR56/$C38</f>
        <v>0</v>
      </c>
      <c r="BS38" s="17">
        <f>'Raw Data'!DJ56/$C38</f>
        <v>0.8</v>
      </c>
      <c r="BT38" s="17">
        <f>'Raw Data'!DN56/$C38</f>
        <v>0.1</v>
      </c>
      <c r="BU38" s="17">
        <f>'Raw Data'!DV56/$C38</f>
        <v>0.2</v>
      </c>
      <c r="BV38" s="12">
        <f>'Raw Data'!EM56</f>
        <v>2.7</v>
      </c>
      <c r="BW38" s="13">
        <f>'Raw Data'!EN56</f>
        <v>3</v>
      </c>
      <c r="BX38" s="13">
        <f>'Raw Data'!CC56</f>
        <v>1</v>
      </c>
      <c r="BY38" s="13">
        <f>SUM(AR38:AS38)</f>
        <v>3.4</v>
      </c>
    </row>
    <row r="39" spans="1:77" x14ac:dyDescent="0.25">
      <c r="A39">
        <f>'Raw Data'!A33</f>
        <v>3501</v>
      </c>
      <c r="B39" t="str">
        <f>'Raw Data'!B33</f>
        <v xml:space="preserve"> Firebots</v>
      </c>
      <c r="C39">
        <f>'Raw Data'!C33</f>
        <v>10</v>
      </c>
      <c r="E39" s="57">
        <f>IF(_xlfn.IFNA(MATCH(A39,'Center Switch 2'!A:A, 0),0)&gt;0,1,0)</f>
        <v>1</v>
      </c>
      <c r="F39" s="57">
        <f>_xlfn.IFNA(VLOOKUP(A39,'Center Switch 2'!A:G,2,0),0)</f>
        <v>6</v>
      </c>
      <c r="G39" s="57">
        <f>_xlfn.IFNA(VLOOKUP(A39,'Center Switch 2'!A:G,4,0),0)</f>
        <v>6</v>
      </c>
      <c r="H39" s="57">
        <f>_xlfn.IFNA(VLOOKUP(A39,'Center Switch 2'!A:G,5,0),0)</f>
        <v>1</v>
      </c>
      <c r="I39" s="57">
        <f>_xlfn.IFNA(VLOOKUP(A39,'Center Switch 2'!A:G,6,0),0)</f>
        <v>0</v>
      </c>
      <c r="J39" s="57">
        <f>_xlfn.IFNA(VLOOKUP(A39,'Center Switch 2'!A:G,7,0),0)</f>
        <v>0</v>
      </c>
      <c r="K39" s="59">
        <f>AP39</f>
        <v>1.1000000000000001</v>
      </c>
      <c r="L39" s="59">
        <f>AQ39</f>
        <v>0</v>
      </c>
      <c r="M39" s="59">
        <f>AS39</f>
        <v>3.3</v>
      </c>
      <c r="N39" s="59">
        <f>2*O39</f>
        <v>3</v>
      </c>
      <c r="O39" s="59">
        <f>AO39</f>
        <v>1.5</v>
      </c>
      <c r="P39" s="59">
        <f>AV39</f>
        <v>6.3000000000000007</v>
      </c>
      <c r="Q39" s="59">
        <f>AU39</f>
        <v>6.6</v>
      </c>
      <c r="R39" s="59">
        <f>AL39</f>
        <v>5.9</v>
      </c>
      <c r="S39" s="61">
        <f>'Raw Data'!CT33</f>
        <v>13.257</v>
      </c>
      <c r="T39" s="61">
        <f>'Raw Data'!CR33</f>
        <v>3.633</v>
      </c>
      <c r="U39" s="61">
        <f>'Raw Data'!CW33</f>
        <v>0</v>
      </c>
      <c r="V39" s="61">
        <f>'Raw Data'!DA33</f>
        <v>0</v>
      </c>
      <c r="W39" s="61">
        <f>BV39</f>
        <v>2.7</v>
      </c>
      <c r="X39" s="39">
        <v>3</v>
      </c>
      <c r="Y39" s="39">
        <v>3.1</v>
      </c>
      <c r="Z39" s="39">
        <v>27</v>
      </c>
      <c r="AD39" s="12">
        <f>'Raw Data'!D33</f>
        <v>2</v>
      </c>
      <c r="AE39" s="13">
        <f>'Raw Data'!E33</f>
        <v>6</v>
      </c>
      <c r="AF39" s="13">
        <f>'Raw Data'!F33</f>
        <v>2</v>
      </c>
      <c r="AG39" s="13">
        <f>'Raw Data'!G33</f>
        <v>9</v>
      </c>
      <c r="AH39" s="13">
        <f>'Raw Data'!O33</f>
        <v>6</v>
      </c>
      <c r="AI39" s="13">
        <f>'Raw Data'!T33</f>
        <v>0</v>
      </c>
      <c r="AJ39" s="13">
        <f>'Raw Data'!Y33</f>
        <v>0</v>
      </c>
      <c r="AK39" s="13">
        <f>'Raw Data'!AD33</f>
        <v>0</v>
      </c>
      <c r="AL39" s="22">
        <f>'Raw Data'!BV33</f>
        <v>5.9</v>
      </c>
      <c r="AM39" s="15">
        <f>'Raw Data'!BG33</f>
        <v>1</v>
      </c>
      <c r="AN39" s="15">
        <f>'Raw Data'!BL33</f>
        <v>0.5</v>
      </c>
      <c r="AO39" s="15">
        <f>AM39+AN39</f>
        <v>1.5</v>
      </c>
      <c r="AP39" s="15">
        <f>'Raw Data'!AW33</f>
        <v>1.1000000000000001</v>
      </c>
      <c r="AQ39" s="15">
        <f>'Raw Data'!BB33</f>
        <v>0</v>
      </c>
      <c r="AR39" s="15">
        <f>AP39+AQ39</f>
        <v>1.1000000000000001</v>
      </c>
      <c r="AS39" s="15">
        <f>'Raw Data'!BQ33</f>
        <v>3.3</v>
      </c>
      <c r="AT39" s="16">
        <f>'Raw Data'!BY33</f>
        <v>0.1</v>
      </c>
      <c r="AU39" s="26">
        <f>'Raw Data'!AI33</f>
        <v>6.6</v>
      </c>
      <c r="AV39" s="27">
        <f>SUM(AX39:AZ39)</f>
        <v>6.3000000000000007</v>
      </c>
      <c r="AW39" s="27">
        <f>'Raw Data'!AN33</f>
        <v>0.3</v>
      </c>
      <c r="AX39" s="27">
        <f>'Raw Data'!AS33</f>
        <v>4</v>
      </c>
      <c r="AY39" s="27">
        <f>'Raw Data'!AU33</f>
        <v>0.9</v>
      </c>
      <c r="AZ39" s="27">
        <f>'Raw Data'!AL33</f>
        <v>1.4</v>
      </c>
      <c r="BA39" s="17">
        <f>'Raw Data'!CF33</f>
        <v>0</v>
      </c>
      <c r="BB39" s="18">
        <f>'Raw Data'!CJ33</f>
        <v>0</v>
      </c>
      <c r="BC39" s="18">
        <f>'Raw Data'!CM33</f>
        <v>0</v>
      </c>
      <c r="BD39" s="18">
        <f>'Raw Data'!CO33</f>
        <v>0</v>
      </c>
      <c r="BE39" s="19">
        <f>'Raw Data'!CP33</f>
        <v>3</v>
      </c>
      <c r="BF39" s="20">
        <f>'Raw Data'!DO33/$C39</f>
        <v>0</v>
      </c>
      <c r="BG39" s="20">
        <f>'Raw Data'!DG33/$C39</f>
        <v>0.4</v>
      </c>
      <c r="BH39" s="20">
        <f>'Raw Data'!DK33/$C39</f>
        <v>0.6</v>
      </c>
      <c r="BI39" s="20">
        <f>'Raw Data'!DS33/$C39</f>
        <v>1.1000000000000001</v>
      </c>
      <c r="BJ39" s="12">
        <f>'Raw Data'!DP33/$C39</f>
        <v>0</v>
      </c>
      <c r="BK39" s="12">
        <f>'Raw Data'!DH33/$C39</f>
        <v>0.8</v>
      </c>
      <c r="BL39" s="12">
        <f>'Raw Data'!DL33/$C39</f>
        <v>0.2</v>
      </c>
      <c r="BM39" s="12">
        <f>'Raw Data'!DT33/$C39</f>
        <v>0.1</v>
      </c>
      <c r="BN39" s="22">
        <f>'Raw Data'!DQ33/$C39</f>
        <v>0</v>
      </c>
      <c r="BO39" s="22">
        <f>'Raw Data'!DI33/$C39</f>
        <v>0</v>
      </c>
      <c r="BP39" s="22">
        <f>'Raw Data'!DM33/$C39</f>
        <v>0</v>
      </c>
      <c r="BQ39" s="22">
        <f>'Raw Data'!DU33/$C39</f>
        <v>0</v>
      </c>
      <c r="BR39" s="17">
        <f>'Raw Data'!DR33/$C39</f>
        <v>0</v>
      </c>
      <c r="BS39" s="17">
        <f>'Raw Data'!DJ33/$C39</f>
        <v>3.2</v>
      </c>
      <c r="BT39" s="17">
        <f>'Raw Data'!DN33/$C39</f>
        <v>0</v>
      </c>
      <c r="BU39" s="17">
        <f>'Raw Data'!DV33/$C39</f>
        <v>0.4</v>
      </c>
      <c r="BV39" s="12">
        <f>'Raw Data'!EM33</f>
        <v>2.7</v>
      </c>
      <c r="BW39" s="13">
        <f>'Raw Data'!EN33</f>
        <v>2</v>
      </c>
      <c r="BX39" s="13">
        <f>'Raw Data'!CC33</f>
        <v>11</v>
      </c>
      <c r="BY39" s="13">
        <f>SUM(AR39:AS39)</f>
        <v>4.4000000000000004</v>
      </c>
    </row>
    <row r="40" spans="1:77" x14ac:dyDescent="0.25">
      <c r="A40">
        <f>'Raw Data'!A25</f>
        <v>3140</v>
      </c>
      <c r="B40" t="str">
        <f>'Raw Data'!B25</f>
        <v xml:space="preserve"> Flagship</v>
      </c>
      <c r="C40">
        <f>'Raw Data'!C25</f>
        <v>10</v>
      </c>
      <c r="E40" s="57">
        <f>IF(_xlfn.IFNA(MATCH(A40,'Center Switch 2'!A:A, 0),0)&gt;0,1,0)</f>
        <v>1</v>
      </c>
      <c r="F40" s="57">
        <f>_xlfn.IFNA(VLOOKUP(A40,'Center Switch 2'!A:G,2,0),0)</f>
        <v>3</v>
      </c>
      <c r="G40" s="57">
        <f>_xlfn.IFNA(VLOOKUP(A40,'Center Switch 2'!A:G,4,0),0)</f>
        <v>1</v>
      </c>
      <c r="H40" s="57">
        <f>_xlfn.IFNA(VLOOKUP(A40,'Center Switch 2'!A:G,5,0),0)</f>
        <v>0.5</v>
      </c>
      <c r="I40" s="57">
        <f>_xlfn.IFNA(VLOOKUP(A40,'Center Switch 2'!A:G,6,0),0)</f>
        <v>2</v>
      </c>
      <c r="J40" s="57">
        <f>_xlfn.IFNA(VLOOKUP(A40,'Center Switch 2'!A:G,7,0),0)</f>
        <v>1</v>
      </c>
      <c r="K40" s="59">
        <f>AP40</f>
        <v>0.3</v>
      </c>
      <c r="L40" s="59">
        <f>AQ40</f>
        <v>0.3</v>
      </c>
      <c r="M40" s="59">
        <f>AS40</f>
        <v>3.4</v>
      </c>
      <c r="N40" s="59">
        <f>2*O40</f>
        <v>2.8</v>
      </c>
      <c r="O40" s="59">
        <f>AO40</f>
        <v>1.4</v>
      </c>
      <c r="P40" s="59">
        <f>AV40</f>
        <v>5.6</v>
      </c>
      <c r="Q40" s="59">
        <f>AU40</f>
        <v>5.7</v>
      </c>
      <c r="R40" s="59">
        <f>AL40</f>
        <v>5.4</v>
      </c>
      <c r="S40" s="61">
        <f>'Raw Data'!CT25</f>
        <v>4.7370000000000001</v>
      </c>
      <c r="T40" s="61">
        <f>'Raw Data'!CR25</f>
        <v>6</v>
      </c>
      <c r="U40" s="61">
        <f>'Raw Data'!CW25</f>
        <v>9</v>
      </c>
      <c r="V40" s="61">
        <f>'Raw Data'!DA25</f>
        <v>7</v>
      </c>
      <c r="W40" s="61">
        <f>BV40</f>
        <v>3.1</v>
      </c>
      <c r="X40" s="39">
        <v>3</v>
      </c>
      <c r="Y40" s="39">
        <v>3.2</v>
      </c>
      <c r="Z40" s="39">
        <v>28</v>
      </c>
      <c r="AD40" s="12">
        <f>'Raw Data'!D25</f>
        <v>5</v>
      </c>
      <c r="AE40" s="13">
        <f>'Raw Data'!E25</f>
        <v>3</v>
      </c>
      <c r="AF40" s="13">
        <f>'Raw Data'!F25</f>
        <v>2</v>
      </c>
      <c r="AG40" s="13">
        <f>'Raw Data'!G25</f>
        <v>9</v>
      </c>
      <c r="AH40" s="13">
        <f>'Raw Data'!O25</f>
        <v>4</v>
      </c>
      <c r="AI40" s="13">
        <f>'Raw Data'!T25</f>
        <v>0</v>
      </c>
      <c r="AJ40" s="13">
        <f>'Raw Data'!Y25</f>
        <v>0</v>
      </c>
      <c r="AK40" s="13">
        <f>'Raw Data'!AD25</f>
        <v>0</v>
      </c>
      <c r="AL40" s="22">
        <f>'Raw Data'!BV25</f>
        <v>5.4</v>
      </c>
      <c r="AM40" s="15">
        <f>'Raw Data'!BG25</f>
        <v>0.6</v>
      </c>
      <c r="AN40" s="15">
        <f>'Raw Data'!BL25</f>
        <v>0.8</v>
      </c>
      <c r="AO40" s="15">
        <f>AM40+AN40</f>
        <v>1.4</v>
      </c>
      <c r="AP40" s="15">
        <f>'Raw Data'!AW25</f>
        <v>0.3</v>
      </c>
      <c r="AQ40" s="15">
        <f>'Raw Data'!BB25</f>
        <v>0.3</v>
      </c>
      <c r="AR40" s="15">
        <f>AP40+AQ40</f>
        <v>0.6</v>
      </c>
      <c r="AS40" s="15">
        <f>'Raw Data'!BQ25</f>
        <v>3.4</v>
      </c>
      <c r="AT40" s="16">
        <f>'Raw Data'!BY25</f>
        <v>0.5</v>
      </c>
      <c r="AU40" s="26">
        <f>'Raw Data'!AI25</f>
        <v>5.7</v>
      </c>
      <c r="AV40" s="27">
        <f>SUM(AX40:AZ40)</f>
        <v>5.6</v>
      </c>
      <c r="AW40" s="27">
        <f>'Raw Data'!AN25</f>
        <v>0.1</v>
      </c>
      <c r="AX40" s="27">
        <f>'Raw Data'!AS25</f>
        <v>3.5</v>
      </c>
      <c r="AY40" s="27">
        <f>'Raw Data'!AU25</f>
        <v>1.6</v>
      </c>
      <c r="AZ40" s="27">
        <f>'Raw Data'!AL25</f>
        <v>0.5</v>
      </c>
      <c r="BA40" s="17">
        <f>'Raw Data'!CF25</f>
        <v>0</v>
      </c>
      <c r="BB40" s="18">
        <f>'Raw Data'!CJ25</f>
        <v>0</v>
      </c>
      <c r="BC40" s="18">
        <f>'Raw Data'!CM25</f>
        <v>0</v>
      </c>
      <c r="BD40" s="18">
        <f>'Raw Data'!CO25</f>
        <v>0</v>
      </c>
      <c r="BE40" s="19">
        <f>'Raw Data'!CP25</f>
        <v>5</v>
      </c>
      <c r="BF40" s="20">
        <f>'Raw Data'!DO25/$C40</f>
        <v>0</v>
      </c>
      <c r="BG40" s="20">
        <f>'Raw Data'!DG25/$C40</f>
        <v>0.1</v>
      </c>
      <c r="BH40" s="20">
        <f>'Raw Data'!DK25/$C40</f>
        <v>1.1000000000000001</v>
      </c>
      <c r="BI40" s="20">
        <f>'Raw Data'!DS25/$C40</f>
        <v>0.2</v>
      </c>
      <c r="BJ40" s="12">
        <f>'Raw Data'!DP25/$C40</f>
        <v>0</v>
      </c>
      <c r="BK40" s="12">
        <f>'Raw Data'!DH25/$C40</f>
        <v>0.1</v>
      </c>
      <c r="BL40" s="12">
        <f>'Raw Data'!DL25/$C40</f>
        <v>0.1</v>
      </c>
      <c r="BM40" s="12">
        <f>'Raw Data'!DT25/$C40</f>
        <v>0.1</v>
      </c>
      <c r="BN40" s="22">
        <f>'Raw Data'!DQ25/$C40</f>
        <v>0.1</v>
      </c>
      <c r="BO40" s="22">
        <f>'Raw Data'!DI25/$C40</f>
        <v>0</v>
      </c>
      <c r="BP40" s="22">
        <f>'Raw Data'!DM25/$C40</f>
        <v>0.3</v>
      </c>
      <c r="BQ40" s="22">
        <f>'Raw Data'!DU25/$C40</f>
        <v>0.1</v>
      </c>
      <c r="BR40" s="17">
        <f>'Raw Data'!DR25/$C40</f>
        <v>0</v>
      </c>
      <c r="BS40" s="17">
        <f>'Raw Data'!DJ25/$C40</f>
        <v>2.6</v>
      </c>
      <c r="BT40" s="17">
        <f>'Raw Data'!DN25/$C40</f>
        <v>0.5</v>
      </c>
      <c r="BU40" s="17">
        <f>'Raw Data'!DV25/$C40</f>
        <v>0</v>
      </c>
      <c r="BV40" s="12">
        <f>'Raw Data'!EM25</f>
        <v>3.1</v>
      </c>
      <c r="BW40" s="13">
        <f>'Raw Data'!EN25</f>
        <v>2.6669999999999998</v>
      </c>
      <c r="BX40" s="13">
        <f>'Raw Data'!CC25</f>
        <v>11</v>
      </c>
      <c r="BY40" s="13">
        <f>SUM(AR40:AS40)</f>
        <v>4</v>
      </c>
    </row>
    <row r="41" spans="1:77" x14ac:dyDescent="0.25">
      <c r="A41">
        <f>'Raw Data'!A43</f>
        <v>5104</v>
      </c>
      <c r="B41" t="str">
        <f>'Raw Data'!B43</f>
        <v xml:space="preserve"> BreakerBots</v>
      </c>
      <c r="C41">
        <f>'Raw Data'!C43</f>
        <v>10</v>
      </c>
      <c r="E41" s="57">
        <f>IF(_xlfn.IFNA(MATCH(A41,'Center Switch 2'!A:A, 0),0)&gt;0,1,0)</f>
        <v>1</v>
      </c>
      <c r="F41" s="57">
        <f>_xlfn.IFNA(VLOOKUP(A41,'Center Switch 2'!A:G,2,0),0)</f>
        <v>4</v>
      </c>
      <c r="G41" s="57">
        <f>_xlfn.IFNA(VLOOKUP(A41,'Center Switch 2'!A:G,4,0),0)</f>
        <v>1</v>
      </c>
      <c r="H41" s="57">
        <f>_xlfn.IFNA(VLOOKUP(A41,'Center Switch 2'!A:G,5,0),0)</f>
        <v>0.5</v>
      </c>
      <c r="I41" s="57">
        <f>_xlfn.IFNA(VLOOKUP(A41,'Center Switch 2'!A:G,6,0),0)</f>
        <v>1</v>
      </c>
      <c r="J41" s="57">
        <f>_xlfn.IFNA(VLOOKUP(A41,'Center Switch 2'!A:G,7,0),0)</f>
        <v>0.5</v>
      </c>
      <c r="K41" s="59">
        <f>AP41</f>
        <v>1.3</v>
      </c>
      <c r="L41" s="59">
        <f>AQ41</f>
        <v>1.1000000000000001</v>
      </c>
      <c r="M41" s="59">
        <f>AS41</f>
        <v>2.2999999999999998</v>
      </c>
      <c r="N41" s="59">
        <f>2*O41</f>
        <v>1</v>
      </c>
      <c r="O41" s="59">
        <f>AO41</f>
        <v>0.5</v>
      </c>
      <c r="P41" s="59">
        <f>AV41</f>
        <v>5.1999999999999993</v>
      </c>
      <c r="Q41" s="59">
        <f>AU41</f>
        <v>5.6</v>
      </c>
      <c r="R41" s="59">
        <f>AL41</f>
        <v>5.2</v>
      </c>
      <c r="S41" s="61">
        <f>'Raw Data'!CT43</f>
        <v>6.242</v>
      </c>
      <c r="T41" s="61">
        <f>'Raw Data'!CR43</f>
        <v>8</v>
      </c>
      <c r="U41" s="61">
        <f>'Raw Data'!CW43</f>
        <v>8.25</v>
      </c>
      <c r="V41" s="61">
        <f>'Raw Data'!DA43</f>
        <v>6.25</v>
      </c>
      <c r="W41" s="61">
        <f>BV41</f>
        <v>2.8</v>
      </c>
      <c r="X41" s="39">
        <v>3</v>
      </c>
      <c r="Y41" s="39">
        <v>3.3</v>
      </c>
      <c r="Z41" s="39">
        <v>29</v>
      </c>
      <c r="AD41" s="12">
        <f>'Raw Data'!D43</f>
        <v>5</v>
      </c>
      <c r="AE41" s="13">
        <f>'Raw Data'!E43</f>
        <v>4</v>
      </c>
      <c r="AF41" s="13">
        <f>'Raw Data'!F43</f>
        <v>1</v>
      </c>
      <c r="AG41" s="13">
        <f>'Raw Data'!G43</f>
        <v>10</v>
      </c>
      <c r="AH41" s="13">
        <f>'Raw Data'!O43</f>
        <v>2</v>
      </c>
      <c r="AI41" s="13">
        <f>'Raw Data'!T43</f>
        <v>0</v>
      </c>
      <c r="AJ41" s="13">
        <f>'Raw Data'!Y43</f>
        <v>0</v>
      </c>
      <c r="AK41" s="13">
        <f>'Raw Data'!AD43</f>
        <v>0</v>
      </c>
      <c r="AL41" s="22">
        <f>'Raw Data'!BV43</f>
        <v>5.2</v>
      </c>
      <c r="AM41" s="15">
        <f>'Raw Data'!BG43</f>
        <v>0.1</v>
      </c>
      <c r="AN41" s="15">
        <f>'Raw Data'!BL43</f>
        <v>0.4</v>
      </c>
      <c r="AO41" s="15">
        <f>AM41+AN41</f>
        <v>0.5</v>
      </c>
      <c r="AP41" s="15">
        <f>'Raw Data'!AW43</f>
        <v>1.3</v>
      </c>
      <c r="AQ41" s="15">
        <f>'Raw Data'!BB43</f>
        <v>1.1000000000000001</v>
      </c>
      <c r="AR41" s="15">
        <f>AP41+AQ41</f>
        <v>2.4000000000000004</v>
      </c>
      <c r="AS41" s="15">
        <f>'Raw Data'!BQ43</f>
        <v>2.2999999999999998</v>
      </c>
      <c r="AT41" s="16">
        <f>'Raw Data'!BY43</f>
        <v>0.3</v>
      </c>
      <c r="AU41" s="26">
        <f>'Raw Data'!AI43</f>
        <v>5.6</v>
      </c>
      <c r="AV41" s="27">
        <f>SUM(AX41:AZ41)</f>
        <v>5.1999999999999993</v>
      </c>
      <c r="AW41" s="27">
        <f>'Raw Data'!AN43</f>
        <v>0.4</v>
      </c>
      <c r="AX41" s="27">
        <f>'Raw Data'!AS43</f>
        <v>2.8</v>
      </c>
      <c r="AY41" s="27">
        <f>'Raw Data'!AU43</f>
        <v>1.3</v>
      </c>
      <c r="AZ41" s="27">
        <f>'Raw Data'!AL43</f>
        <v>1.1000000000000001</v>
      </c>
      <c r="BA41" s="17">
        <f>'Raw Data'!CF43</f>
        <v>0</v>
      </c>
      <c r="BB41" s="18">
        <f>'Raw Data'!CJ43</f>
        <v>0</v>
      </c>
      <c r="BC41" s="18">
        <f>'Raw Data'!CM43</f>
        <v>0</v>
      </c>
      <c r="BD41" s="18">
        <f>'Raw Data'!CO43</f>
        <v>0</v>
      </c>
      <c r="BE41" s="19">
        <f>'Raw Data'!CP43</f>
        <v>1</v>
      </c>
      <c r="BF41" s="20">
        <f>'Raw Data'!DO43/$C41</f>
        <v>0</v>
      </c>
      <c r="BG41" s="20">
        <f>'Raw Data'!DG43/$C41</f>
        <v>0</v>
      </c>
      <c r="BH41" s="20">
        <f>'Raw Data'!DK43/$C41</f>
        <v>0.2</v>
      </c>
      <c r="BI41" s="20">
        <f>'Raw Data'!DS43/$C41</f>
        <v>0.2</v>
      </c>
      <c r="BJ41" s="12">
        <f>'Raw Data'!DP43/$C41</f>
        <v>0</v>
      </c>
      <c r="BK41" s="12">
        <f>'Raw Data'!DH43/$C41</f>
        <v>0.1</v>
      </c>
      <c r="BL41" s="12">
        <f>'Raw Data'!DL43/$C41</f>
        <v>1</v>
      </c>
      <c r="BM41" s="12">
        <f>'Raw Data'!DT43/$C41</f>
        <v>0.3</v>
      </c>
      <c r="BN41" s="22">
        <f>'Raw Data'!DQ43/$C41</f>
        <v>0.3</v>
      </c>
      <c r="BO41" s="22">
        <f>'Raw Data'!DI43/$C41</f>
        <v>0</v>
      </c>
      <c r="BP41" s="22">
        <f>'Raw Data'!DM43/$C41</f>
        <v>0.6</v>
      </c>
      <c r="BQ41" s="22">
        <f>'Raw Data'!DU43/$C41</f>
        <v>0.3</v>
      </c>
      <c r="BR41" s="17">
        <f>'Raw Data'!DR43/$C41</f>
        <v>0</v>
      </c>
      <c r="BS41" s="17">
        <f>'Raw Data'!DJ43/$C41</f>
        <v>1.8</v>
      </c>
      <c r="BT41" s="17">
        <f>'Raw Data'!DN43/$C41</f>
        <v>0</v>
      </c>
      <c r="BU41" s="17">
        <f>'Raw Data'!DV43/$C41</f>
        <v>0</v>
      </c>
      <c r="BV41" s="12">
        <f>'Raw Data'!EM43</f>
        <v>2.8</v>
      </c>
      <c r="BW41" s="13">
        <f>'Raw Data'!EN43</f>
        <v>0</v>
      </c>
      <c r="BX41" s="13">
        <f>'Raw Data'!CC43</f>
        <v>0</v>
      </c>
      <c r="BY41" s="13">
        <f>SUM(AR41:AS41)</f>
        <v>4.7</v>
      </c>
    </row>
    <row r="42" spans="1:77" x14ac:dyDescent="0.25">
      <c r="A42">
        <f>'Raw Data'!A47</f>
        <v>5663</v>
      </c>
      <c r="B42" t="str">
        <f>'Raw Data'!B47</f>
        <v xml:space="preserve"> Ground Control</v>
      </c>
      <c r="C42">
        <f>'Raw Data'!C47</f>
        <v>9</v>
      </c>
      <c r="E42" s="57">
        <f>IF(_xlfn.IFNA(MATCH(A42,'Center Switch 2'!A:A, 0),0)&gt;0,1,0)</f>
        <v>1</v>
      </c>
      <c r="F42" s="57">
        <f>_xlfn.IFNA(VLOOKUP(A42,'Center Switch 2'!A:G,2,0),0)</f>
        <v>4</v>
      </c>
      <c r="G42" s="57">
        <f>_xlfn.IFNA(VLOOKUP(A42,'Center Switch 2'!A:G,4,0),0)</f>
        <v>4</v>
      </c>
      <c r="H42" s="57">
        <f>_xlfn.IFNA(VLOOKUP(A42,'Center Switch 2'!A:G,5,0),0)</f>
        <v>0.8</v>
      </c>
      <c r="I42" s="57">
        <f>_xlfn.IFNA(VLOOKUP(A42,'Center Switch 2'!A:G,6,0),0)</f>
        <v>1</v>
      </c>
      <c r="J42" s="57">
        <f>_xlfn.IFNA(VLOOKUP(A42,'Center Switch 2'!A:G,7,0),0)</f>
        <v>0.2</v>
      </c>
      <c r="K42" s="59">
        <f>AP42</f>
        <v>1.667</v>
      </c>
      <c r="L42" s="59">
        <f>AQ42</f>
        <v>0.222</v>
      </c>
      <c r="M42" s="59">
        <f>AS42</f>
        <v>0.33300000000000002</v>
      </c>
      <c r="N42" s="59">
        <f>2*O42</f>
        <v>4.6660000000000004</v>
      </c>
      <c r="O42" s="59">
        <f>AO42</f>
        <v>2.3330000000000002</v>
      </c>
      <c r="P42" s="59">
        <f>AV42</f>
        <v>5.3330000000000002</v>
      </c>
      <c r="Q42" s="59">
        <f>AU42</f>
        <v>5.444</v>
      </c>
      <c r="R42" s="59">
        <f>AL42</f>
        <v>4.556</v>
      </c>
      <c r="S42" s="61">
        <f>'Raw Data'!CT47</f>
        <v>7.6669999999999998</v>
      </c>
      <c r="T42" s="61">
        <f>'Raw Data'!CR47</f>
        <v>23.067</v>
      </c>
      <c r="U42" s="61">
        <f>'Raw Data'!CW47</f>
        <v>0</v>
      </c>
      <c r="V42" s="61">
        <f>'Raw Data'!DA47</f>
        <v>20</v>
      </c>
      <c r="W42" s="61">
        <f>BV42</f>
        <v>2.778</v>
      </c>
      <c r="X42" s="39">
        <v>3</v>
      </c>
      <c r="Y42" s="39">
        <v>3.5</v>
      </c>
      <c r="Z42" s="39">
        <v>30</v>
      </c>
      <c r="AD42" s="12">
        <f>'Raw Data'!D47</f>
        <v>4</v>
      </c>
      <c r="AE42" s="13">
        <f>'Raw Data'!E47</f>
        <v>4</v>
      </c>
      <c r="AF42" s="13">
        <f>'Raw Data'!F47</f>
        <v>1</v>
      </c>
      <c r="AG42" s="13">
        <f>'Raw Data'!G47</f>
        <v>9</v>
      </c>
      <c r="AH42" s="13">
        <f>'Raw Data'!O47</f>
        <v>4</v>
      </c>
      <c r="AI42" s="13">
        <f>'Raw Data'!T47</f>
        <v>1</v>
      </c>
      <c r="AJ42" s="13">
        <f>'Raw Data'!Y47</f>
        <v>0</v>
      </c>
      <c r="AK42" s="13">
        <f>'Raw Data'!AD47</f>
        <v>0</v>
      </c>
      <c r="AL42" s="22">
        <f>'Raw Data'!BV47</f>
        <v>4.556</v>
      </c>
      <c r="AM42" s="15">
        <f>'Raw Data'!BG47</f>
        <v>0.44400000000000001</v>
      </c>
      <c r="AN42" s="15">
        <f>'Raw Data'!BL47</f>
        <v>1.889</v>
      </c>
      <c r="AO42" s="15">
        <f>AM42+AN42</f>
        <v>2.3330000000000002</v>
      </c>
      <c r="AP42" s="15">
        <f>'Raw Data'!AW47</f>
        <v>1.667</v>
      </c>
      <c r="AQ42" s="15">
        <f>'Raw Data'!BB47</f>
        <v>0.222</v>
      </c>
      <c r="AR42" s="15">
        <f>AP42+AQ42</f>
        <v>1.889</v>
      </c>
      <c r="AS42" s="15">
        <f>'Raw Data'!BQ47</f>
        <v>0.33300000000000002</v>
      </c>
      <c r="AT42" s="16">
        <f>'Raw Data'!BY47</f>
        <v>0.222</v>
      </c>
      <c r="AU42" s="26">
        <f>'Raw Data'!AI47</f>
        <v>5.444</v>
      </c>
      <c r="AV42" s="27">
        <f>SUM(AX42:AZ42)</f>
        <v>5.3330000000000002</v>
      </c>
      <c r="AW42" s="27">
        <f>'Raw Data'!AN47</f>
        <v>0.111</v>
      </c>
      <c r="AX42" s="27">
        <f>'Raw Data'!AS47</f>
        <v>1.111</v>
      </c>
      <c r="AY42" s="27">
        <f>'Raw Data'!AU47</f>
        <v>2.222</v>
      </c>
      <c r="AZ42" s="27">
        <f>'Raw Data'!AL47</f>
        <v>2</v>
      </c>
      <c r="BA42" s="17">
        <f>'Raw Data'!CF47</f>
        <v>0</v>
      </c>
      <c r="BB42" s="18">
        <f>'Raw Data'!CJ47</f>
        <v>0</v>
      </c>
      <c r="BC42" s="18">
        <f>'Raw Data'!CM47</f>
        <v>0</v>
      </c>
      <c r="BD42" s="18">
        <f>'Raw Data'!CO47</f>
        <v>0</v>
      </c>
      <c r="BE42" s="19">
        <f>'Raw Data'!CP47</f>
        <v>5</v>
      </c>
      <c r="BF42" s="20">
        <f>'Raw Data'!DO47/$C42</f>
        <v>0.1111111111111111</v>
      </c>
      <c r="BG42" s="20">
        <f>'Raw Data'!DG47/$C42</f>
        <v>0</v>
      </c>
      <c r="BH42" s="20">
        <f>'Raw Data'!DK47/$C42</f>
        <v>0.55555555555555558</v>
      </c>
      <c r="BI42" s="20">
        <f>'Raw Data'!DS47/$C42</f>
        <v>1</v>
      </c>
      <c r="BJ42" s="12">
        <f>'Raw Data'!DP47/$C42</f>
        <v>0</v>
      </c>
      <c r="BK42" s="12">
        <f>'Raw Data'!DH47/$C42</f>
        <v>0.88888888888888884</v>
      </c>
      <c r="BL42" s="12">
        <f>'Raw Data'!DL47/$C42</f>
        <v>1.2222222222222223</v>
      </c>
      <c r="BM42" s="12">
        <f>'Raw Data'!DT47/$C42</f>
        <v>0.66666666666666663</v>
      </c>
      <c r="BN42" s="22">
        <f>'Raw Data'!DQ47/$C42</f>
        <v>0.1111111111111111</v>
      </c>
      <c r="BO42" s="22">
        <f>'Raw Data'!DI47/$C42</f>
        <v>0</v>
      </c>
      <c r="BP42" s="22">
        <f>'Raw Data'!DM47/$C42</f>
        <v>0</v>
      </c>
      <c r="BQ42" s="22">
        <f>'Raw Data'!DU47/$C42</f>
        <v>0.1111111111111111</v>
      </c>
      <c r="BR42" s="17">
        <f>'Raw Data'!DR47/$C42</f>
        <v>0</v>
      </c>
      <c r="BS42" s="17">
        <f>'Raw Data'!DJ47/$C42</f>
        <v>0.33333333333333331</v>
      </c>
      <c r="BT42" s="17">
        <f>'Raw Data'!DN47/$C42</f>
        <v>0</v>
      </c>
      <c r="BU42" s="17">
        <f>'Raw Data'!DV47/$C42</f>
        <v>0</v>
      </c>
      <c r="BV42" s="12">
        <f>'Raw Data'!EM47</f>
        <v>2.778</v>
      </c>
      <c r="BW42" s="13">
        <f>'Raw Data'!EN47</f>
        <v>0</v>
      </c>
      <c r="BX42" s="13">
        <f>'Raw Data'!CC47</f>
        <v>22</v>
      </c>
      <c r="BY42" s="13">
        <f>SUM(AR42:AS42)</f>
        <v>2.222</v>
      </c>
    </row>
    <row r="43" spans="1:77" x14ac:dyDescent="0.25">
      <c r="A43">
        <f>'Raw Data'!A34</f>
        <v>3737</v>
      </c>
      <c r="B43" t="str">
        <f>'Raw Data'!B34</f>
        <v xml:space="preserve"> Roto-Raptors</v>
      </c>
      <c r="C43">
        <f>'Raw Data'!C34</f>
        <v>10</v>
      </c>
      <c r="E43" s="57">
        <f>IF(_xlfn.IFNA(MATCH(A43,'Center Switch 2'!A:A, 0),0)&gt;0,1,0)</f>
        <v>1</v>
      </c>
      <c r="F43" s="57">
        <f>_xlfn.IFNA(VLOOKUP(A43,'Center Switch 2'!A:G,2,0),0)</f>
        <v>3</v>
      </c>
      <c r="G43" s="57">
        <f>_xlfn.IFNA(VLOOKUP(A43,'Center Switch 2'!A:G,4,0),0)</f>
        <v>3</v>
      </c>
      <c r="H43" s="57">
        <f>_xlfn.IFNA(VLOOKUP(A43,'Center Switch 2'!A:G,5,0),0)</f>
        <v>1</v>
      </c>
      <c r="I43" s="57">
        <f>_xlfn.IFNA(VLOOKUP(A43,'Center Switch 2'!A:G,6,0),0)</f>
        <v>0</v>
      </c>
      <c r="J43" s="57">
        <f>_xlfn.IFNA(VLOOKUP(A43,'Center Switch 2'!A:G,7,0),0)</f>
        <v>0</v>
      </c>
      <c r="K43" s="59">
        <f>AP43</f>
        <v>0.8</v>
      </c>
      <c r="L43" s="59">
        <f>AQ43</f>
        <v>1</v>
      </c>
      <c r="M43" s="59">
        <f>AS43</f>
        <v>0.8</v>
      </c>
      <c r="N43" s="59">
        <f>2*O43</f>
        <v>3.4000000000000004</v>
      </c>
      <c r="O43" s="59">
        <f>AO43</f>
        <v>1.7000000000000002</v>
      </c>
      <c r="P43" s="59">
        <f>AV43</f>
        <v>4</v>
      </c>
      <c r="Q43" s="59">
        <f>AU43</f>
        <v>4.4000000000000004</v>
      </c>
      <c r="R43" s="59">
        <f>AL43</f>
        <v>4.3</v>
      </c>
      <c r="S43" s="61">
        <f>'Raw Data'!CT34</f>
        <v>5.6669999999999998</v>
      </c>
      <c r="T43" s="61">
        <f>'Raw Data'!CR34</f>
        <v>8.5</v>
      </c>
      <c r="U43" s="61">
        <f>'Raw Data'!CW34</f>
        <v>13.694000000000001</v>
      </c>
      <c r="V43" s="61">
        <f>'Raw Data'!DA34</f>
        <v>0</v>
      </c>
      <c r="W43" s="61">
        <f>BV43</f>
        <v>3.1</v>
      </c>
      <c r="X43" s="39">
        <v>3</v>
      </c>
      <c r="Y43" s="39">
        <v>3.6</v>
      </c>
      <c r="Z43" s="39">
        <v>31</v>
      </c>
      <c r="AD43" s="12">
        <f>'Raw Data'!D34</f>
        <v>6</v>
      </c>
      <c r="AE43" s="13">
        <f>'Raw Data'!E34</f>
        <v>3</v>
      </c>
      <c r="AF43" s="13">
        <f>'Raw Data'!F34</f>
        <v>1</v>
      </c>
      <c r="AG43" s="13">
        <f>'Raw Data'!G34</f>
        <v>10</v>
      </c>
      <c r="AH43" s="13">
        <f>'Raw Data'!O34</f>
        <v>4</v>
      </c>
      <c r="AI43" s="13">
        <f>'Raw Data'!T34</f>
        <v>2</v>
      </c>
      <c r="AJ43" s="13">
        <f>'Raw Data'!Y34</f>
        <v>0</v>
      </c>
      <c r="AK43" s="13">
        <f>'Raw Data'!AD34</f>
        <v>0</v>
      </c>
      <c r="AL43" s="22">
        <f>'Raw Data'!BV34</f>
        <v>4.3</v>
      </c>
      <c r="AM43" s="15">
        <f>'Raw Data'!BG34</f>
        <v>0.8</v>
      </c>
      <c r="AN43" s="15">
        <f>'Raw Data'!BL34</f>
        <v>0.9</v>
      </c>
      <c r="AO43" s="15">
        <f>AM43+AN43</f>
        <v>1.7000000000000002</v>
      </c>
      <c r="AP43" s="15">
        <f>'Raw Data'!AW34</f>
        <v>0.8</v>
      </c>
      <c r="AQ43" s="15">
        <f>'Raw Data'!BB34</f>
        <v>1</v>
      </c>
      <c r="AR43" s="15">
        <f>AP43+AQ43</f>
        <v>1.8</v>
      </c>
      <c r="AS43" s="15">
        <f>'Raw Data'!BQ34</f>
        <v>0.8</v>
      </c>
      <c r="AT43" s="16">
        <f>'Raw Data'!BY34</f>
        <v>0</v>
      </c>
      <c r="AU43" s="26">
        <f>'Raw Data'!AI34</f>
        <v>4.4000000000000004</v>
      </c>
      <c r="AV43" s="27">
        <f>SUM(AX43:AZ43)</f>
        <v>4</v>
      </c>
      <c r="AW43" s="27">
        <f>'Raw Data'!AN34</f>
        <v>0.4</v>
      </c>
      <c r="AX43" s="27">
        <f>'Raw Data'!AS34</f>
        <v>1.1000000000000001</v>
      </c>
      <c r="AY43" s="27">
        <f>'Raw Data'!AU34</f>
        <v>2.5</v>
      </c>
      <c r="AZ43" s="27">
        <f>'Raw Data'!AL34</f>
        <v>0.4</v>
      </c>
      <c r="BA43" s="17">
        <f>'Raw Data'!CF34</f>
        <v>100</v>
      </c>
      <c r="BB43" s="18">
        <f>'Raw Data'!CJ34</f>
        <v>0</v>
      </c>
      <c r="BC43" s="18">
        <f>'Raw Data'!CM34</f>
        <v>0</v>
      </c>
      <c r="BD43" s="18">
        <f>'Raw Data'!CO34</f>
        <v>0</v>
      </c>
      <c r="BE43" s="19">
        <f>'Raw Data'!CP34</f>
        <v>2</v>
      </c>
      <c r="BF43" s="20">
        <f>'Raw Data'!DO34/$C43</f>
        <v>0.2</v>
      </c>
      <c r="BG43" s="20">
        <f>'Raw Data'!DG34/$C43</f>
        <v>0.3</v>
      </c>
      <c r="BH43" s="20">
        <f>'Raw Data'!DK34/$C43</f>
        <v>1.4</v>
      </c>
      <c r="BI43" s="20">
        <f>'Raw Data'!DS34/$C43</f>
        <v>0.2</v>
      </c>
      <c r="BJ43" s="12">
        <f>'Raw Data'!DP34/$C43</f>
        <v>0</v>
      </c>
      <c r="BK43" s="12">
        <f>'Raw Data'!DH34/$C43</f>
        <v>0.3</v>
      </c>
      <c r="BL43" s="12">
        <f>'Raw Data'!DL34/$C43</f>
        <v>0.3</v>
      </c>
      <c r="BM43" s="12">
        <f>'Raw Data'!DT34/$C43</f>
        <v>0</v>
      </c>
      <c r="BN43" s="22">
        <f>'Raw Data'!DQ34/$C43</f>
        <v>0</v>
      </c>
      <c r="BO43" s="22">
        <f>'Raw Data'!DI34/$C43</f>
        <v>0</v>
      </c>
      <c r="BP43" s="22">
        <f>'Raw Data'!DM34/$C43</f>
        <v>0.8</v>
      </c>
      <c r="BQ43" s="22">
        <f>'Raw Data'!DU34/$C43</f>
        <v>0.1</v>
      </c>
      <c r="BR43" s="17">
        <f>'Raw Data'!DR34/$C43</f>
        <v>0</v>
      </c>
      <c r="BS43" s="17">
        <f>'Raw Data'!DJ34/$C43</f>
        <v>0.7</v>
      </c>
      <c r="BT43" s="17">
        <f>'Raw Data'!DN34/$C43</f>
        <v>0</v>
      </c>
      <c r="BU43" s="17">
        <f>'Raw Data'!DV34/$C43</f>
        <v>0</v>
      </c>
      <c r="BV43" s="12">
        <f>'Raw Data'!EM34</f>
        <v>3.1</v>
      </c>
      <c r="BW43" s="13">
        <f>'Raw Data'!EN34</f>
        <v>2</v>
      </c>
      <c r="BX43" s="13">
        <f>'Raw Data'!CC34</f>
        <v>22</v>
      </c>
      <c r="BY43" s="13">
        <f>SUM(AR43:AS43)</f>
        <v>2.6</v>
      </c>
    </row>
    <row r="44" spans="1:77" x14ac:dyDescent="0.25">
      <c r="A44">
        <f>'Raw Data'!A17</f>
        <v>1868</v>
      </c>
      <c r="B44" t="str">
        <f>'Raw Data'!B17</f>
        <v xml:space="preserve"> Space Cookies</v>
      </c>
      <c r="C44">
        <f>'Raw Data'!C17</f>
        <v>10</v>
      </c>
      <c r="E44" s="57">
        <f>IF(_xlfn.IFNA(MATCH(A44,'Center Switch 2'!A:A, 0),0)&gt;0,1,0)</f>
        <v>1</v>
      </c>
      <c r="F44" s="57">
        <f>_xlfn.IFNA(VLOOKUP(A44,'Center Switch 2'!A:G,2,0),0)</f>
        <v>2</v>
      </c>
      <c r="G44" s="57">
        <f>_xlfn.IFNA(VLOOKUP(A44,'Center Switch 2'!A:G,4,0),0)</f>
        <v>1</v>
      </c>
      <c r="H44" s="57">
        <f>_xlfn.IFNA(VLOOKUP(A44,'Center Switch 2'!A:G,5,0),0)</f>
        <v>1</v>
      </c>
      <c r="I44" s="57">
        <f>_xlfn.IFNA(VLOOKUP(A44,'Center Switch 2'!A:G,6,0),0)</f>
        <v>0</v>
      </c>
      <c r="J44" s="57">
        <f>_xlfn.IFNA(VLOOKUP(A44,'Center Switch 2'!A:G,7,0),0)</f>
        <v>0</v>
      </c>
      <c r="K44" s="59">
        <f>AP44</f>
        <v>0.6</v>
      </c>
      <c r="L44" s="59">
        <f>AQ44</f>
        <v>0.2</v>
      </c>
      <c r="M44" s="59">
        <f>AS44</f>
        <v>0.9</v>
      </c>
      <c r="N44" s="59">
        <f>2*O44</f>
        <v>3.8</v>
      </c>
      <c r="O44" s="59">
        <f>AO44</f>
        <v>1.9</v>
      </c>
      <c r="P44" s="59">
        <f>AV44</f>
        <v>3.1999999999999997</v>
      </c>
      <c r="Q44" s="59">
        <f>AU44</f>
        <v>3.6</v>
      </c>
      <c r="R44" s="59">
        <f>AL44</f>
        <v>3.6</v>
      </c>
      <c r="S44" s="61">
        <f>'Raw Data'!CT17</f>
        <v>9</v>
      </c>
      <c r="T44" s="61">
        <f>'Raw Data'!CR17</f>
        <v>7.3330000000000002</v>
      </c>
      <c r="U44" s="61">
        <f>'Raw Data'!CW17</f>
        <v>12</v>
      </c>
      <c r="V44" s="61">
        <f>'Raw Data'!DA17</f>
        <v>6</v>
      </c>
      <c r="W44" s="61">
        <f>BV44</f>
        <v>2.6</v>
      </c>
      <c r="X44" s="39">
        <v>3</v>
      </c>
      <c r="Y44" s="39">
        <v>3.7</v>
      </c>
      <c r="Z44" s="39">
        <v>32</v>
      </c>
      <c r="AD44" s="12">
        <f>'Raw Data'!D17</f>
        <v>3</v>
      </c>
      <c r="AE44" s="13">
        <f>'Raw Data'!E17</f>
        <v>2</v>
      </c>
      <c r="AF44" s="13">
        <f>'Raw Data'!F17</f>
        <v>5</v>
      </c>
      <c r="AG44" s="13">
        <f>'Raw Data'!G17</f>
        <v>8</v>
      </c>
      <c r="AH44" s="13">
        <f>'Raw Data'!O17</f>
        <v>1</v>
      </c>
      <c r="AI44" s="13">
        <f>'Raw Data'!T17</f>
        <v>3</v>
      </c>
      <c r="AJ44" s="13">
        <f>'Raw Data'!Y17</f>
        <v>0</v>
      </c>
      <c r="AK44" s="13">
        <f>'Raw Data'!AD17</f>
        <v>0</v>
      </c>
      <c r="AL44" s="22">
        <f>'Raw Data'!BV17</f>
        <v>3.6</v>
      </c>
      <c r="AM44" s="15">
        <f>'Raw Data'!BG17</f>
        <v>1</v>
      </c>
      <c r="AN44" s="15">
        <f>'Raw Data'!BL17</f>
        <v>0.9</v>
      </c>
      <c r="AO44" s="15">
        <f>AM44+AN44</f>
        <v>1.9</v>
      </c>
      <c r="AP44" s="15">
        <f>'Raw Data'!AW17</f>
        <v>0.6</v>
      </c>
      <c r="AQ44" s="15">
        <f>'Raw Data'!BB17</f>
        <v>0.2</v>
      </c>
      <c r="AR44" s="15">
        <f>AP44+AQ44</f>
        <v>0.8</v>
      </c>
      <c r="AS44" s="15">
        <f>'Raw Data'!BQ17</f>
        <v>0.9</v>
      </c>
      <c r="AT44" s="16">
        <f>'Raw Data'!BY17</f>
        <v>0.4</v>
      </c>
      <c r="AU44" s="26">
        <f>'Raw Data'!AI17</f>
        <v>3.6</v>
      </c>
      <c r="AV44" s="27">
        <f>SUM(AX44:AZ44)</f>
        <v>3.1999999999999997</v>
      </c>
      <c r="AW44" s="27">
        <f>'Raw Data'!AN17</f>
        <v>0.4</v>
      </c>
      <c r="AX44" s="27">
        <f>'Raw Data'!AS17</f>
        <v>1.4</v>
      </c>
      <c r="AY44" s="27">
        <f>'Raw Data'!AU17</f>
        <v>1.5</v>
      </c>
      <c r="AZ44" s="27">
        <f>'Raw Data'!AL17</f>
        <v>0.3</v>
      </c>
      <c r="BA44" s="17">
        <f>'Raw Data'!CF17</f>
        <v>0</v>
      </c>
      <c r="BB44" s="18">
        <f>'Raw Data'!CJ17</f>
        <v>0</v>
      </c>
      <c r="BC44" s="18">
        <f>'Raw Data'!CM17</f>
        <v>0</v>
      </c>
      <c r="BD44" s="18">
        <f>'Raw Data'!CO17</f>
        <v>0</v>
      </c>
      <c r="BE44" s="19">
        <f>'Raw Data'!CP17</f>
        <v>5</v>
      </c>
      <c r="BF44" s="20">
        <f>'Raw Data'!DO17/$C44</f>
        <v>0.2</v>
      </c>
      <c r="BG44" s="20">
        <f>'Raw Data'!DG17/$C44</f>
        <v>0.4</v>
      </c>
      <c r="BH44" s="20">
        <f>'Raw Data'!DK17/$C44</f>
        <v>1.1000000000000001</v>
      </c>
      <c r="BI44" s="20">
        <f>'Raw Data'!DS17/$C44</f>
        <v>0.2</v>
      </c>
      <c r="BJ44" s="12">
        <f>'Raw Data'!DP17/$C44</f>
        <v>0</v>
      </c>
      <c r="BK44" s="12">
        <f>'Raw Data'!DH17/$C44</f>
        <v>0.3</v>
      </c>
      <c r="BL44" s="12">
        <f>'Raw Data'!DL17/$C44</f>
        <v>0.1</v>
      </c>
      <c r="BM44" s="12">
        <f>'Raw Data'!DT17/$C44</f>
        <v>0</v>
      </c>
      <c r="BN44" s="22">
        <f>'Raw Data'!DQ17/$C44</f>
        <v>0.1</v>
      </c>
      <c r="BO44" s="22">
        <f>'Raw Data'!DI17/$C44</f>
        <v>0</v>
      </c>
      <c r="BP44" s="22">
        <f>'Raw Data'!DM17/$C44</f>
        <v>0.1</v>
      </c>
      <c r="BQ44" s="22">
        <f>'Raw Data'!DU17/$C44</f>
        <v>0</v>
      </c>
      <c r="BR44" s="17">
        <f>'Raw Data'!DR17/$C44</f>
        <v>0.1</v>
      </c>
      <c r="BS44" s="17">
        <f>'Raw Data'!DJ17/$C44</f>
        <v>0.2</v>
      </c>
      <c r="BT44" s="17">
        <f>'Raw Data'!DN17/$C44</f>
        <v>0.1</v>
      </c>
      <c r="BU44" s="17">
        <f>'Raw Data'!DV17/$C44</f>
        <v>0.5</v>
      </c>
      <c r="BV44" s="12">
        <f>'Raw Data'!EM17</f>
        <v>2.6</v>
      </c>
      <c r="BW44" s="13">
        <f>'Raw Data'!EN17</f>
        <v>0</v>
      </c>
      <c r="BX44" s="13">
        <f>'Raw Data'!CC17</f>
        <v>11</v>
      </c>
      <c r="BY44" s="13">
        <f>SUM(AR44:AS44)</f>
        <v>1.7000000000000002</v>
      </c>
    </row>
    <row r="45" spans="1:77" x14ac:dyDescent="0.25">
      <c r="A45">
        <f>'Raw Data'!A31</f>
        <v>3473</v>
      </c>
      <c r="B45" t="str">
        <f>'Raw Data'!B31</f>
        <v xml:space="preserve"> Team Sprocket</v>
      </c>
      <c r="C45">
        <f>'Raw Data'!C31</f>
        <v>10</v>
      </c>
      <c r="E45" s="57">
        <f>IF(_xlfn.IFNA(MATCH(A45,'Center Switch 2'!A:A, 0),0)&gt;0,1,0)</f>
        <v>1</v>
      </c>
      <c r="F45" s="57">
        <f>_xlfn.IFNA(VLOOKUP(A45,'Center Switch 2'!A:G,2,0),0)</f>
        <v>2</v>
      </c>
      <c r="G45" s="57">
        <f>_xlfn.IFNA(VLOOKUP(A45,'Center Switch 2'!A:G,4,0),0)</f>
        <v>1</v>
      </c>
      <c r="H45" s="57">
        <f>_xlfn.IFNA(VLOOKUP(A45,'Center Switch 2'!A:G,5,0),0)</f>
        <v>1</v>
      </c>
      <c r="I45" s="57">
        <f>_xlfn.IFNA(VLOOKUP(A45,'Center Switch 2'!A:G,6,0),0)</f>
        <v>0</v>
      </c>
      <c r="J45" s="57">
        <f>_xlfn.IFNA(VLOOKUP(A45,'Center Switch 2'!A:G,7,0),0)</f>
        <v>0</v>
      </c>
      <c r="K45" s="59">
        <f>AP45</f>
        <v>0.2</v>
      </c>
      <c r="L45" s="59">
        <f>AQ45</f>
        <v>0.2</v>
      </c>
      <c r="M45" s="59">
        <f>AS45</f>
        <v>1.2</v>
      </c>
      <c r="N45" s="59">
        <f>2*O45</f>
        <v>1.7999999999999998</v>
      </c>
      <c r="O45" s="59">
        <f>AO45</f>
        <v>0.89999999999999991</v>
      </c>
      <c r="P45" s="59">
        <f>AV45</f>
        <v>3.0000000000000004</v>
      </c>
      <c r="Q45" s="59">
        <f>AU45</f>
        <v>3.2</v>
      </c>
      <c r="R45" s="59">
        <f>AL45</f>
        <v>2.5</v>
      </c>
      <c r="S45" s="61">
        <f>'Raw Data'!CT31</f>
        <v>5.625</v>
      </c>
      <c r="T45" s="61">
        <f>'Raw Data'!CR31</f>
        <v>15</v>
      </c>
      <c r="U45" s="61">
        <f>'Raw Data'!CW31</f>
        <v>9.5</v>
      </c>
      <c r="V45" s="61">
        <f>'Raw Data'!DA31</f>
        <v>0</v>
      </c>
      <c r="W45" s="61">
        <f>BV45</f>
        <v>1.9</v>
      </c>
      <c r="X45" s="39">
        <v>4</v>
      </c>
      <c r="Y45" s="39">
        <v>3310</v>
      </c>
      <c r="Z45" s="39">
        <v>33</v>
      </c>
      <c r="AD45" s="12">
        <f>'Raw Data'!D31</f>
        <v>3</v>
      </c>
      <c r="AE45" s="13">
        <f>'Raw Data'!E31</f>
        <v>2</v>
      </c>
      <c r="AF45" s="13">
        <f>'Raw Data'!F31</f>
        <v>4</v>
      </c>
      <c r="AG45" s="13">
        <f>'Raw Data'!G31</f>
        <v>8</v>
      </c>
      <c r="AH45" s="13">
        <f>'Raw Data'!O31</f>
        <v>3</v>
      </c>
      <c r="AI45" s="13">
        <f>'Raw Data'!T31</f>
        <v>3</v>
      </c>
      <c r="AJ45" s="13">
        <f>'Raw Data'!Y31</f>
        <v>0</v>
      </c>
      <c r="AK45" s="13">
        <f>'Raw Data'!AD31</f>
        <v>0</v>
      </c>
      <c r="AL45" s="22">
        <f>'Raw Data'!BV31</f>
        <v>2.5</v>
      </c>
      <c r="AM45" s="15">
        <f>'Raw Data'!BG31</f>
        <v>0.6</v>
      </c>
      <c r="AN45" s="15">
        <f>'Raw Data'!BL31</f>
        <v>0.3</v>
      </c>
      <c r="AO45" s="15">
        <f>AM45+AN45</f>
        <v>0.89999999999999991</v>
      </c>
      <c r="AP45" s="15">
        <f>'Raw Data'!AW31</f>
        <v>0.2</v>
      </c>
      <c r="AQ45" s="15">
        <f>'Raw Data'!BB31</f>
        <v>0.2</v>
      </c>
      <c r="AR45" s="15">
        <f>AP45+AQ45</f>
        <v>0.4</v>
      </c>
      <c r="AS45" s="15">
        <f>'Raw Data'!BQ31</f>
        <v>1.2</v>
      </c>
      <c r="AT45" s="16">
        <f>'Raw Data'!BY31</f>
        <v>0.2</v>
      </c>
      <c r="AU45" s="26">
        <f>'Raw Data'!AI31</f>
        <v>3.2</v>
      </c>
      <c r="AV45" s="27">
        <f>SUM(AX45:AZ45)</f>
        <v>3.0000000000000004</v>
      </c>
      <c r="AW45" s="27">
        <f>'Raw Data'!AN31</f>
        <v>0.2</v>
      </c>
      <c r="AX45" s="27">
        <f>'Raw Data'!AS31</f>
        <v>1.3</v>
      </c>
      <c r="AY45" s="27">
        <f>'Raw Data'!AU31</f>
        <v>1.1000000000000001</v>
      </c>
      <c r="AZ45" s="27">
        <f>'Raw Data'!AL31</f>
        <v>0.6</v>
      </c>
      <c r="BA45" s="17">
        <f>'Raw Data'!CF31</f>
        <v>0</v>
      </c>
      <c r="BB45" s="18">
        <f>'Raw Data'!CJ31</f>
        <v>0</v>
      </c>
      <c r="BC45" s="18">
        <f>'Raw Data'!CM31</f>
        <v>0</v>
      </c>
      <c r="BD45" s="18">
        <f>'Raw Data'!CO31</f>
        <v>0</v>
      </c>
      <c r="BE45" s="19">
        <f>'Raw Data'!CP31</f>
        <v>0</v>
      </c>
      <c r="BF45" s="20">
        <f>'Raw Data'!DO31/$C45</f>
        <v>0</v>
      </c>
      <c r="BG45" s="20">
        <f>'Raw Data'!DG31/$C45</f>
        <v>0.1</v>
      </c>
      <c r="BH45" s="20">
        <f>'Raw Data'!DK31/$C45</f>
        <v>0.5</v>
      </c>
      <c r="BI45" s="20">
        <f>'Raw Data'!DS31/$C45</f>
        <v>0.1</v>
      </c>
      <c r="BJ45" s="12">
        <f>'Raw Data'!DP31/$C45</f>
        <v>0</v>
      </c>
      <c r="BK45" s="12">
        <f>'Raw Data'!DH31/$C45</f>
        <v>0.1</v>
      </c>
      <c r="BL45" s="12">
        <f>'Raw Data'!DL31/$C45</f>
        <v>0</v>
      </c>
      <c r="BM45" s="12">
        <f>'Raw Data'!DT31/$C45</f>
        <v>0</v>
      </c>
      <c r="BN45" s="22">
        <f>'Raw Data'!DQ31/$C45</f>
        <v>0</v>
      </c>
      <c r="BO45" s="22">
        <f>'Raw Data'!DI31/$C45</f>
        <v>0</v>
      </c>
      <c r="BP45" s="22">
        <f>'Raw Data'!DM31/$C45</f>
        <v>0.2</v>
      </c>
      <c r="BQ45" s="22">
        <f>'Raw Data'!DU31/$C45</f>
        <v>0</v>
      </c>
      <c r="BR45" s="17">
        <f>'Raw Data'!DR31/$C45</f>
        <v>0</v>
      </c>
      <c r="BS45" s="17">
        <f>'Raw Data'!DJ31/$C45</f>
        <v>0.8</v>
      </c>
      <c r="BT45" s="17">
        <f>'Raw Data'!DN31/$C45</f>
        <v>0</v>
      </c>
      <c r="BU45" s="17">
        <f>'Raw Data'!DV31/$C45</f>
        <v>0.1</v>
      </c>
      <c r="BV45" s="12">
        <f>'Raw Data'!EM31</f>
        <v>1.9</v>
      </c>
      <c r="BW45" s="13">
        <f>'Raw Data'!EN31</f>
        <v>3.5</v>
      </c>
      <c r="BX45" s="13">
        <f>'Raw Data'!CC31</f>
        <v>11</v>
      </c>
      <c r="BY45" s="13">
        <f>SUM(AR45:AS45)</f>
        <v>1.6</v>
      </c>
    </row>
    <row r="46" spans="1:77" x14ac:dyDescent="0.25">
      <c r="A46">
        <f>'Raw Data'!A22</f>
        <v>2905</v>
      </c>
      <c r="B46" t="str">
        <f>'Raw Data'!B22</f>
        <v xml:space="preserve"> Sultans of Turkiye</v>
      </c>
      <c r="C46">
        <f>'Raw Data'!C22</f>
        <v>9</v>
      </c>
      <c r="E46" s="57">
        <f>IF(_xlfn.IFNA(MATCH(A46,'Center Switch 2'!A:A, 0),0)&gt;0,1,0)</f>
        <v>1</v>
      </c>
      <c r="F46" s="57">
        <f>_xlfn.IFNA(VLOOKUP(A46,'Center Switch 2'!A:G,2,0),0)</f>
        <v>3</v>
      </c>
      <c r="G46" s="57">
        <f>_xlfn.IFNA(VLOOKUP(A46,'Center Switch 2'!A:G,4,0),0)</f>
        <v>1</v>
      </c>
      <c r="H46" s="57">
        <f>_xlfn.IFNA(VLOOKUP(A46,'Center Switch 2'!A:G,5,0),0)</f>
        <v>0.5</v>
      </c>
      <c r="I46" s="57">
        <f>_xlfn.IFNA(VLOOKUP(A46,'Center Switch 2'!A:G,6,0),0)</f>
        <v>1</v>
      </c>
      <c r="J46" s="57">
        <f>_xlfn.IFNA(VLOOKUP(A46,'Center Switch 2'!A:G,7,0),0)</f>
        <v>0.5</v>
      </c>
      <c r="K46" s="59">
        <f>AP46</f>
        <v>0.33300000000000002</v>
      </c>
      <c r="L46" s="59">
        <f>AQ46</f>
        <v>0.222</v>
      </c>
      <c r="M46" s="59">
        <f>AS46</f>
        <v>1.222</v>
      </c>
      <c r="N46" s="59">
        <f>2*O46</f>
        <v>1.1100000000000001</v>
      </c>
      <c r="O46" s="59">
        <f>AO46</f>
        <v>0.55500000000000005</v>
      </c>
      <c r="P46" s="59">
        <f>AV46</f>
        <v>2.444</v>
      </c>
      <c r="Q46" s="59">
        <f>AU46</f>
        <v>2.444</v>
      </c>
      <c r="R46" s="59">
        <f>AL46</f>
        <v>2.3330000000000002</v>
      </c>
      <c r="S46" s="61">
        <f>'Raw Data'!CT22</f>
        <v>11.125</v>
      </c>
      <c r="T46" s="61">
        <f>'Raw Data'!CR22</f>
        <v>4</v>
      </c>
      <c r="U46" s="61">
        <f>'Raw Data'!CW22</f>
        <v>20</v>
      </c>
      <c r="V46" s="61">
        <f>'Raw Data'!DA22</f>
        <v>11</v>
      </c>
      <c r="W46" s="61">
        <f>BV46</f>
        <v>2.222</v>
      </c>
      <c r="X46" s="39">
        <v>4</v>
      </c>
      <c r="Y46" s="39">
        <v>3310</v>
      </c>
      <c r="Z46" s="39">
        <v>34</v>
      </c>
      <c r="AD46" s="12">
        <f>'Raw Data'!D22</f>
        <v>3</v>
      </c>
      <c r="AE46" s="13">
        <f>'Raw Data'!E22</f>
        <v>3</v>
      </c>
      <c r="AF46" s="13">
        <f>'Raw Data'!F22</f>
        <v>3</v>
      </c>
      <c r="AG46" s="13">
        <f>'Raw Data'!G22</f>
        <v>8</v>
      </c>
      <c r="AH46" s="13">
        <f>'Raw Data'!O22</f>
        <v>2</v>
      </c>
      <c r="AI46" s="13">
        <f>'Raw Data'!T22</f>
        <v>0</v>
      </c>
      <c r="AJ46" s="13">
        <f>'Raw Data'!Y22</f>
        <v>0</v>
      </c>
      <c r="AK46" s="13">
        <f>'Raw Data'!AD22</f>
        <v>0</v>
      </c>
      <c r="AL46" s="22">
        <f>'Raw Data'!BV22</f>
        <v>2.3330000000000002</v>
      </c>
      <c r="AM46" s="15">
        <f>'Raw Data'!BG22</f>
        <v>0.111</v>
      </c>
      <c r="AN46" s="15">
        <f>'Raw Data'!BL22</f>
        <v>0.44400000000000001</v>
      </c>
      <c r="AO46" s="15">
        <f>AM46+AN46</f>
        <v>0.55500000000000005</v>
      </c>
      <c r="AP46" s="15">
        <f>'Raw Data'!AW22</f>
        <v>0.33300000000000002</v>
      </c>
      <c r="AQ46" s="15">
        <f>'Raw Data'!BB22</f>
        <v>0.222</v>
      </c>
      <c r="AR46" s="15">
        <f>AP46+AQ46</f>
        <v>0.55500000000000005</v>
      </c>
      <c r="AS46" s="15">
        <f>'Raw Data'!BQ22</f>
        <v>1.222</v>
      </c>
      <c r="AT46" s="16">
        <f>'Raw Data'!BY22</f>
        <v>0.111</v>
      </c>
      <c r="AU46" s="26">
        <f>'Raw Data'!AI22</f>
        <v>2.444</v>
      </c>
      <c r="AV46" s="27">
        <f>SUM(AX46:AZ46)</f>
        <v>2.444</v>
      </c>
      <c r="AW46" s="27">
        <f>'Raw Data'!AN22</f>
        <v>0</v>
      </c>
      <c r="AX46" s="27">
        <f>'Raw Data'!AS22</f>
        <v>1.778</v>
      </c>
      <c r="AY46" s="27">
        <f>'Raw Data'!AU22</f>
        <v>0.222</v>
      </c>
      <c r="AZ46" s="27">
        <f>'Raw Data'!AL22</f>
        <v>0.44400000000000001</v>
      </c>
      <c r="BA46" s="17">
        <f>'Raw Data'!CF22</f>
        <v>50</v>
      </c>
      <c r="BB46" s="18">
        <f>'Raw Data'!CJ22</f>
        <v>0</v>
      </c>
      <c r="BC46" s="18">
        <f>'Raw Data'!CM22</f>
        <v>0</v>
      </c>
      <c r="BD46" s="18">
        <f>'Raw Data'!CO22</f>
        <v>0</v>
      </c>
      <c r="BE46" s="19">
        <f>'Raw Data'!CP22</f>
        <v>2</v>
      </c>
      <c r="BF46" s="20">
        <f>'Raw Data'!DO22/$C46</f>
        <v>0</v>
      </c>
      <c r="BG46" s="20">
        <f>'Raw Data'!DG22/$C46</f>
        <v>0.33333333333333331</v>
      </c>
      <c r="BH46" s="20">
        <f>'Raw Data'!DK22/$C46</f>
        <v>0.22222222222222221</v>
      </c>
      <c r="BI46" s="20">
        <f>'Raw Data'!DS22/$C46</f>
        <v>0.1111111111111111</v>
      </c>
      <c r="BJ46" s="12">
        <f>'Raw Data'!DP22/$C46</f>
        <v>0</v>
      </c>
      <c r="BK46" s="12">
        <f>'Raw Data'!DH22/$C46</f>
        <v>0.1111111111111111</v>
      </c>
      <c r="BL46" s="12">
        <f>'Raw Data'!DL22/$C46</f>
        <v>0.1111111111111111</v>
      </c>
      <c r="BM46" s="12">
        <f>'Raw Data'!DT22/$C46</f>
        <v>0.1111111111111111</v>
      </c>
      <c r="BN46" s="22">
        <f>'Raw Data'!DQ22/$C46</f>
        <v>0.1111111111111111</v>
      </c>
      <c r="BO46" s="22">
        <f>'Raw Data'!DI22/$C46</f>
        <v>0</v>
      </c>
      <c r="BP46" s="22">
        <f>'Raw Data'!DM22/$C46</f>
        <v>0.1111111111111111</v>
      </c>
      <c r="BQ46" s="22">
        <f>'Raw Data'!DU22/$C46</f>
        <v>0</v>
      </c>
      <c r="BR46" s="17">
        <f>'Raw Data'!DR22/$C46</f>
        <v>0</v>
      </c>
      <c r="BS46" s="17">
        <f>'Raw Data'!DJ22/$C46</f>
        <v>1.1111111111111112</v>
      </c>
      <c r="BT46" s="17">
        <f>'Raw Data'!DN22/$C46</f>
        <v>0</v>
      </c>
      <c r="BU46" s="17">
        <f>'Raw Data'!DV22/$C46</f>
        <v>0</v>
      </c>
      <c r="BV46" s="12">
        <f>'Raw Data'!EM22</f>
        <v>2.222</v>
      </c>
      <c r="BW46" s="13">
        <f>'Raw Data'!EN22</f>
        <v>3</v>
      </c>
      <c r="BX46" s="13">
        <f>'Raw Data'!CC22</f>
        <v>11</v>
      </c>
      <c r="BY46" s="13">
        <f>SUM(AR46:AS46)</f>
        <v>1.7770000000000001</v>
      </c>
    </row>
    <row r="47" spans="1:77" x14ac:dyDescent="0.25">
      <c r="A47">
        <f>'Raw Data'!A45</f>
        <v>5554</v>
      </c>
      <c r="B47" t="str">
        <f>'Raw Data'!B45</f>
        <v xml:space="preserve"> The Poros</v>
      </c>
      <c r="C47">
        <f>'Raw Data'!C45</f>
        <v>10</v>
      </c>
      <c r="E47" s="57">
        <f>IF(_xlfn.IFNA(MATCH(A47,'Center Switch 2'!A:A, 0),0)&gt;0,1,0)</f>
        <v>1</v>
      </c>
      <c r="F47" s="57">
        <f>_xlfn.IFNA(VLOOKUP(A47,'Center Switch 2'!A:G,2,0),0)</f>
        <v>2</v>
      </c>
      <c r="G47" s="57">
        <f>_xlfn.IFNA(VLOOKUP(A47,'Center Switch 2'!A:G,4,0),0)</f>
        <v>1</v>
      </c>
      <c r="H47" s="57">
        <f>_xlfn.IFNA(VLOOKUP(A47,'Center Switch 2'!A:G,5,0),0)</f>
        <v>0.5</v>
      </c>
      <c r="I47" s="57">
        <f>_xlfn.IFNA(VLOOKUP(A47,'Center Switch 2'!A:G,6,0),0)</f>
        <v>1</v>
      </c>
      <c r="J47" s="57">
        <f>_xlfn.IFNA(VLOOKUP(A47,'Center Switch 2'!A:G,7,0),0)</f>
        <v>0.5</v>
      </c>
      <c r="K47" s="59">
        <f>AP47</f>
        <v>0.5</v>
      </c>
      <c r="L47" s="59">
        <f>AQ47</f>
        <v>0.5</v>
      </c>
      <c r="M47" s="59">
        <f>AS47</f>
        <v>1.6</v>
      </c>
      <c r="N47" s="59">
        <f>2*O47</f>
        <v>8.1999999999999993</v>
      </c>
      <c r="O47" s="59">
        <f>AO47</f>
        <v>4.0999999999999996</v>
      </c>
      <c r="P47" s="59">
        <f>AV47</f>
        <v>7.1</v>
      </c>
      <c r="Q47" s="59">
        <f>AU47</f>
        <v>7.6</v>
      </c>
      <c r="R47" s="59">
        <f>AL47</f>
        <v>6.7</v>
      </c>
      <c r="S47" s="61">
        <f>'Raw Data'!CT45</f>
        <v>7.2750000000000004</v>
      </c>
      <c r="T47" s="61">
        <f>'Raw Data'!CR45</f>
        <v>4</v>
      </c>
      <c r="U47" s="61">
        <f>'Raw Data'!CW45</f>
        <v>8.25</v>
      </c>
      <c r="V47" s="61">
        <f>'Raw Data'!DA45</f>
        <v>6</v>
      </c>
      <c r="W47" s="61">
        <f>BV47</f>
        <v>3.3</v>
      </c>
      <c r="X47" s="39">
        <v>2</v>
      </c>
      <c r="Y47" s="39">
        <v>2.4</v>
      </c>
      <c r="Z47" s="39">
        <v>35</v>
      </c>
      <c r="AA47" s="39" t="s">
        <v>309</v>
      </c>
      <c r="AD47" s="12">
        <f>'Raw Data'!D45</f>
        <v>4</v>
      </c>
      <c r="AE47" s="13">
        <f>'Raw Data'!E45</f>
        <v>2</v>
      </c>
      <c r="AF47" s="13">
        <f>'Raw Data'!F45</f>
        <v>4</v>
      </c>
      <c r="AG47" s="13">
        <f>'Raw Data'!G45</f>
        <v>10</v>
      </c>
      <c r="AH47" s="13">
        <f>'Raw Data'!O45</f>
        <v>3</v>
      </c>
      <c r="AI47" s="13">
        <f>'Raw Data'!T45</f>
        <v>4</v>
      </c>
      <c r="AJ47" s="13">
        <f>'Raw Data'!Y45</f>
        <v>0</v>
      </c>
      <c r="AK47" s="13">
        <f>'Raw Data'!AD45</f>
        <v>0</v>
      </c>
      <c r="AL47" s="22">
        <f>'Raw Data'!BV45</f>
        <v>6.7</v>
      </c>
      <c r="AM47" s="15">
        <f>'Raw Data'!BG45</f>
        <v>2</v>
      </c>
      <c r="AN47" s="15">
        <f>'Raw Data'!BL45</f>
        <v>2.1</v>
      </c>
      <c r="AO47" s="15">
        <f>AM47+AN47</f>
        <v>4.0999999999999996</v>
      </c>
      <c r="AP47" s="15">
        <f>'Raw Data'!AW45</f>
        <v>0.5</v>
      </c>
      <c r="AQ47" s="15">
        <f>'Raw Data'!BB45</f>
        <v>0.5</v>
      </c>
      <c r="AR47" s="15">
        <f>AP47+AQ47</f>
        <v>1</v>
      </c>
      <c r="AS47" s="15">
        <f>'Raw Data'!BQ45</f>
        <v>1.6</v>
      </c>
      <c r="AT47" s="16">
        <f>'Raw Data'!BY45</f>
        <v>0.1</v>
      </c>
      <c r="AU47" s="26">
        <f>'Raw Data'!AI45</f>
        <v>7.6</v>
      </c>
      <c r="AV47" s="27">
        <f>SUM(AX47:AZ47)</f>
        <v>7.1</v>
      </c>
      <c r="AW47" s="27">
        <f>'Raw Data'!AN45</f>
        <v>0.5</v>
      </c>
      <c r="AX47" s="27">
        <f>'Raw Data'!AS45</f>
        <v>2.1</v>
      </c>
      <c r="AY47" s="27">
        <f>'Raw Data'!AU45</f>
        <v>3.1</v>
      </c>
      <c r="AZ47" s="27">
        <f>'Raw Data'!AL45</f>
        <v>1.9</v>
      </c>
      <c r="BA47" s="17">
        <f>'Raw Data'!CF45</f>
        <v>100</v>
      </c>
      <c r="BB47" s="18">
        <f>'Raw Data'!CJ45</f>
        <v>0</v>
      </c>
      <c r="BC47" s="18">
        <f>'Raw Data'!CM45</f>
        <v>0</v>
      </c>
      <c r="BD47" s="18">
        <f>'Raw Data'!CO45</f>
        <v>0</v>
      </c>
      <c r="BE47" s="19">
        <f>'Raw Data'!CP45</f>
        <v>0</v>
      </c>
      <c r="BF47" s="20">
        <f>'Raw Data'!DO45/$C47</f>
        <v>0.1</v>
      </c>
      <c r="BG47" s="20">
        <f>'Raw Data'!DG45/$C47</f>
        <v>0.6</v>
      </c>
      <c r="BH47" s="20">
        <f>'Raw Data'!DK45/$C47</f>
        <v>2.5</v>
      </c>
      <c r="BI47" s="20">
        <f>'Raw Data'!DS45/$C47</f>
        <v>1.5</v>
      </c>
      <c r="BJ47" s="12">
        <f>'Raw Data'!DP45/$C47</f>
        <v>0</v>
      </c>
      <c r="BK47" s="12">
        <f>'Raw Data'!DH45/$C47</f>
        <v>0.1</v>
      </c>
      <c r="BL47" s="12">
        <f>'Raw Data'!DL45/$C47</f>
        <v>0.3</v>
      </c>
      <c r="BM47" s="12">
        <f>'Raw Data'!DT45/$C47</f>
        <v>0.2</v>
      </c>
      <c r="BN47" s="22">
        <f>'Raw Data'!DQ45/$C47</f>
        <v>0.3</v>
      </c>
      <c r="BO47" s="22">
        <f>'Raw Data'!DI45/$C47</f>
        <v>0</v>
      </c>
      <c r="BP47" s="22">
        <f>'Raw Data'!DM45/$C47</f>
        <v>0.3</v>
      </c>
      <c r="BQ47" s="22">
        <f>'Raw Data'!DU45/$C47</f>
        <v>0.2</v>
      </c>
      <c r="BR47" s="17">
        <f>'Raw Data'!DR45/$C47</f>
        <v>0.1</v>
      </c>
      <c r="BS47" s="17">
        <f>'Raw Data'!DJ45/$C47</f>
        <v>1.2</v>
      </c>
      <c r="BT47" s="17">
        <f>'Raw Data'!DN45/$C47</f>
        <v>0.1</v>
      </c>
      <c r="BU47" s="17">
        <f>'Raw Data'!DV45/$C47</f>
        <v>0.2</v>
      </c>
      <c r="BV47" s="12">
        <f>'Raw Data'!EM45</f>
        <v>3.3</v>
      </c>
      <c r="BW47" s="13">
        <f>'Raw Data'!EN45</f>
        <v>0</v>
      </c>
      <c r="BX47" s="13">
        <f>'Raw Data'!CC45</f>
        <v>22</v>
      </c>
      <c r="BY47" s="13">
        <f>SUM(AR47:AS47)</f>
        <v>2.6</v>
      </c>
    </row>
    <row r="48" spans="1:77" x14ac:dyDescent="0.25">
      <c r="A48">
        <f>'Raw Data'!A41</f>
        <v>4576</v>
      </c>
      <c r="B48" t="str">
        <f>'Raw Data'!B41</f>
        <v xml:space="preserve"> Red Nation Robotics</v>
      </c>
      <c r="C48">
        <f>'Raw Data'!C41</f>
        <v>9</v>
      </c>
      <c r="E48" s="57">
        <f>IF(_xlfn.IFNA(MATCH(A48,'Center Switch 2'!A:A, 0),0)&gt;0,1,0)</f>
        <v>0</v>
      </c>
      <c r="F48" s="57">
        <f>_xlfn.IFNA(VLOOKUP(A48,'Center Switch 2'!A:G,2,0),0)</f>
        <v>0</v>
      </c>
      <c r="G48" s="57">
        <f>_xlfn.IFNA(VLOOKUP(A48,'Center Switch 2'!A:G,4,0),0)</f>
        <v>0</v>
      </c>
      <c r="H48" s="57">
        <f>_xlfn.IFNA(VLOOKUP(A48,'Center Switch 2'!A:G,5,0),0)</f>
        <v>0</v>
      </c>
      <c r="I48" s="57">
        <f>_xlfn.IFNA(VLOOKUP(A48,'Center Switch 2'!A:G,6,0),0)</f>
        <v>0</v>
      </c>
      <c r="J48" s="57">
        <f>_xlfn.IFNA(VLOOKUP(A48,'Center Switch 2'!A:G,7,0),0)</f>
        <v>0</v>
      </c>
      <c r="K48" s="59">
        <f>AP48</f>
        <v>1.889</v>
      </c>
      <c r="L48" s="59">
        <f>AQ48</f>
        <v>0.55600000000000005</v>
      </c>
      <c r="M48" s="59">
        <f>AS48</f>
        <v>3.778</v>
      </c>
      <c r="N48" s="59">
        <f>2*O48</f>
        <v>1.778</v>
      </c>
      <c r="O48" s="59">
        <f>AO48</f>
        <v>0.88900000000000001</v>
      </c>
      <c r="R48" s="59">
        <f>AL48</f>
        <v>7.1109999999999998</v>
      </c>
      <c r="S48" s="61">
        <f>'Raw Data'!CT41</f>
        <v>4.5789999999999997</v>
      </c>
      <c r="T48" s="61">
        <f>'Raw Data'!CR41</f>
        <v>8.9329999999999998</v>
      </c>
      <c r="U48" s="61">
        <f>'Raw Data'!CW41</f>
        <v>0</v>
      </c>
      <c r="V48" s="61">
        <f>'Raw Data'!DA41</f>
        <v>0</v>
      </c>
      <c r="W48" s="61">
        <f>BV48</f>
        <v>3.3330000000000002</v>
      </c>
      <c r="AD48" s="12">
        <f>'Raw Data'!D41</f>
        <v>3</v>
      </c>
      <c r="AE48" s="13">
        <f>'Raw Data'!E41</f>
        <v>1</v>
      </c>
      <c r="AF48" s="13">
        <f>'Raw Data'!F41</f>
        <v>5</v>
      </c>
      <c r="AG48" s="13">
        <f>'Raw Data'!G41</f>
        <v>9</v>
      </c>
      <c r="AH48" s="13">
        <f>'Raw Data'!O41</f>
        <v>0</v>
      </c>
      <c r="AI48" s="13">
        <f>'Raw Data'!T41</f>
        <v>0</v>
      </c>
      <c r="AJ48" s="13">
        <f>'Raw Data'!Y41</f>
        <v>0</v>
      </c>
      <c r="AK48" s="13">
        <f>'Raw Data'!AD41</f>
        <v>0</v>
      </c>
      <c r="AL48" s="22">
        <f>'Raw Data'!BV41</f>
        <v>7.1109999999999998</v>
      </c>
      <c r="AM48" s="15">
        <f>'Raw Data'!BG41</f>
        <v>0.55600000000000005</v>
      </c>
      <c r="AN48" s="15">
        <f>'Raw Data'!BL41</f>
        <v>0.33300000000000002</v>
      </c>
      <c r="AO48" s="15">
        <f>AM48+AN48</f>
        <v>0.88900000000000001</v>
      </c>
      <c r="AP48" s="15">
        <f>'Raw Data'!AW41</f>
        <v>1.889</v>
      </c>
      <c r="AQ48" s="15">
        <f>'Raw Data'!BB41</f>
        <v>0.55600000000000005</v>
      </c>
      <c r="AR48" s="15">
        <f>AP48+AQ48</f>
        <v>2.4450000000000003</v>
      </c>
      <c r="AS48" s="15">
        <f>'Raw Data'!BQ41</f>
        <v>3.778</v>
      </c>
      <c r="AT48" s="16">
        <f>'Raw Data'!BY41</f>
        <v>0.222</v>
      </c>
      <c r="AU48" s="26">
        <f>'Raw Data'!AI41</f>
        <v>7.6669999999999998</v>
      </c>
      <c r="AV48" s="27">
        <f>SUM(AX48:AZ48)</f>
        <v>7.6659999999999995</v>
      </c>
      <c r="AW48" s="27">
        <f>'Raw Data'!AN41</f>
        <v>0</v>
      </c>
      <c r="AX48" s="27">
        <f>'Raw Data'!AS41</f>
        <v>5.1109999999999998</v>
      </c>
      <c r="AY48" s="27">
        <f>'Raw Data'!AU41</f>
        <v>1.111</v>
      </c>
      <c r="AZ48" s="27">
        <f>'Raw Data'!AL41</f>
        <v>1.444</v>
      </c>
      <c r="BA48" s="17">
        <f>'Raw Data'!CF41</f>
        <v>100</v>
      </c>
      <c r="BB48" s="18">
        <f>'Raw Data'!CJ41</f>
        <v>1</v>
      </c>
      <c r="BC48" s="18">
        <f>'Raw Data'!CM41</f>
        <v>0</v>
      </c>
      <c r="BD48" s="18">
        <f>'Raw Data'!CO41</f>
        <v>0</v>
      </c>
      <c r="BE48" s="19">
        <f>'Raw Data'!CP41</f>
        <v>3</v>
      </c>
      <c r="BF48" s="20">
        <f>'Raw Data'!DO41/$C48</f>
        <v>0</v>
      </c>
      <c r="BG48" s="20">
        <f>'Raw Data'!DG41/$C48</f>
        <v>0.1111111111111111</v>
      </c>
      <c r="BH48" s="20">
        <f>'Raw Data'!DK41/$C48</f>
        <v>0.55555555555555558</v>
      </c>
      <c r="BI48" s="20">
        <f>'Raw Data'!DS41/$C48</f>
        <v>0.1111111111111111</v>
      </c>
      <c r="BJ48" s="12">
        <f>'Raw Data'!DP41/$C48</f>
        <v>0</v>
      </c>
      <c r="BK48" s="12">
        <f>'Raw Data'!DH41/$C48</f>
        <v>1.1111111111111112</v>
      </c>
      <c r="BL48" s="12">
        <f>'Raw Data'!DL41/$C48</f>
        <v>0.22222222222222221</v>
      </c>
      <c r="BM48" s="12">
        <f>'Raw Data'!DT41/$C48</f>
        <v>0.1111111111111111</v>
      </c>
      <c r="BN48" s="22">
        <f>'Raw Data'!DQ41/$C48</f>
        <v>0</v>
      </c>
      <c r="BO48" s="22">
        <f>'Raw Data'!DI41/$C48</f>
        <v>0</v>
      </c>
      <c r="BP48" s="22">
        <f>'Raw Data'!DM41/$C48</f>
        <v>0</v>
      </c>
      <c r="BQ48" s="22">
        <f>'Raw Data'!DU41/$C48</f>
        <v>0.55555555555555558</v>
      </c>
      <c r="BR48" s="17">
        <f>'Raw Data'!DR41/$C48</f>
        <v>0.1111111111111111</v>
      </c>
      <c r="BS48" s="17">
        <f>'Raw Data'!DJ41/$C48</f>
        <v>3.6666666666666665</v>
      </c>
      <c r="BT48" s="17">
        <f>'Raw Data'!DN41/$C48</f>
        <v>0.33333333333333331</v>
      </c>
      <c r="BU48" s="17">
        <f>'Raw Data'!DV41/$C48</f>
        <v>0.55555555555555558</v>
      </c>
      <c r="BV48" s="12">
        <f>'Raw Data'!EM41</f>
        <v>3.3330000000000002</v>
      </c>
      <c r="BW48" s="13">
        <f>'Raw Data'!EN41</f>
        <v>0</v>
      </c>
      <c r="BX48" s="13">
        <f>'Raw Data'!CC41</f>
        <v>11</v>
      </c>
      <c r="BY48" s="13">
        <f>SUM(AR48:AS48)</f>
        <v>6.2230000000000008</v>
      </c>
    </row>
    <row r="49" spans="1:77" x14ac:dyDescent="0.25">
      <c r="A49">
        <f>'Raw Data'!A42</f>
        <v>5098</v>
      </c>
      <c r="B49" t="str">
        <f>'Raw Data'!B42</f>
        <v xml:space="preserve"> STING - R</v>
      </c>
      <c r="C49">
        <f>'Raw Data'!C42</f>
        <v>10</v>
      </c>
      <c r="E49" s="57">
        <f>IF(_xlfn.IFNA(MATCH(A49,'Center Switch 2'!A:A, 0),0)&gt;0,1,0)</f>
        <v>0</v>
      </c>
      <c r="F49" s="57">
        <f>_xlfn.IFNA(VLOOKUP(A49,'Center Switch 2'!A:G,2,0),0)</f>
        <v>0</v>
      </c>
      <c r="G49" s="57">
        <f>_xlfn.IFNA(VLOOKUP(A49,'Center Switch 2'!A:G,4,0),0)</f>
        <v>0</v>
      </c>
      <c r="H49" s="57">
        <f>_xlfn.IFNA(VLOOKUP(A49,'Center Switch 2'!A:G,5,0),0)</f>
        <v>0</v>
      </c>
      <c r="I49" s="57">
        <f>_xlfn.IFNA(VLOOKUP(A49,'Center Switch 2'!A:G,6,0),0)</f>
        <v>0</v>
      </c>
      <c r="J49" s="57">
        <f>_xlfn.IFNA(VLOOKUP(A49,'Center Switch 2'!A:G,7,0),0)</f>
        <v>0</v>
      </c>
      <c r="K49" s="59">
        <f>AP49</f>
        <v>1.9</v>
      </c>
      <c r="L49" s="59">
        <f>AQ49</f>
        <v>0</v>
      </c>
      <c r="M49" s="59">
        <f>AS49</f>
        <v>5</v>
      </c>
      <c r="N49" s="59">
        <f>2*O49</f>
        <v>0</v>
      </c>
      <c r="O49" s="59">
        <f>AO49</f>
        <v>0</v>
      </c>
      <c r="R49" s="59">
        <f>AL49</f>
        <v>6.9</v>
      </c>
      <c r="S49" s="61">
        <f>'Raw Data'!CT42</f>
        <v>5.3479999999999999</v>
      </c>
      <c r="T49" s="61">
        <f>'Raw Data'!CR42</f>
        <v>6.05</v>
      </c>
      <c r="U49" s="61">
        <f>'Raw Data'!CW42</f>
        <v>0</v>
      </c>
      <c r="V49" s="61">
        <f>'Raw Data'!DA42</f>
        <v>0</v>
      </c>
      <c r="W49" s="61">
        <f>BV49</f>
        <v>2.9</v>
      </c>
      <c r="AD49" s="12">
        <f>'Raw Data'!D42</f>
        <v>7</v>
      </c>
      <c r="AE49" s="13">
        <f>'Raw Data'!E42</f>
        <v>0</v>
      </c>
      <c r="AF49" s="13">
        <f>'Raw Data'!F42</f>
        <v>3</v>
      </c>
      <c r="AG49" s="13">
        <f>'Raw Data'!G42</f>
        <v>10</v>
      </c>
      <c r="AH49" s="13">
        <f>'Raw Data'!O42</f>
        <v>0</v>
      </c>
      <c r="AI49" s="13">
        <f>'Raw Data'!T42</f>
        <v>0</v>
      </c>
      <c r="AJ49" s="13">
        <f>'Raw Data'!Y42</f>
        <v>0</v>
      </c>
      <c r="AK49" s="13">
        <f>'Raw Data'!AD42</f>
        <v>0</v>
      </c>
      <c r="AL49" s="22">
        <f>'Raw Data'!BV42</f>
        <v>6.9</v>
      </c>
      <c r="AM49" s="15">
        <f>'Raw Data'!BG42</f>
        <v>0</v>
      </c>
      <c r="AN49" s="15">
        <f>'Raw Data'!BL42</f>
        <v>0</v>
      </c>
      <c r="AO49" s="15">
        <f>AM49+AN49</f>
        <v>0</v>
      </c>
      <c r="AP49" s="15">
        <f>'Raw Data'!AW42</f>
        <v>1.9</v>
      </c>
      <c r="AQ49" s="15">
        <f>'Raw Data'!BB42</f>
        <v>0</v>
      </c>
      <c r="AR49" s="15">
        <f>AP49+AQ49</f>
        <v>1.9</v>
      </c>
      <c r="AS49" s="15">
        <f>'Raw Data'!BQ42</f>
        <v>5</v>
      </c>
      <c r="AT49" s="16">
        <f>'Raw Data'!BY42</f>
        <v>0.7</v>
      </c>
      <c r="AU49" s="26">
        <f>'Raw Data'!AI42</f>
        <v>6.7</v>
      </c>
      <c r="AV49" s="27">
        <f>SUM(AX49:AZ49)</f>
        <v>6.6</v>
      </c>
      <c r="AW49" s="27">
        <f>'Raw Data'!AN42</f>
        <v>0.1</v>
      </c>
      <c r="AX49" s="27">
        <f>'Raw Data'!AS42</f>
        <v>5.0999999999999996</v>
      </c>
      <c r="AY49" s="27">
        <f>'Raw Data'!AU42</f>
        <v>0.2</v>
      </c>
      <c r="AZ49" s="27">
        <f>'Raw Data'!AL42</f>
        <v>1.3</v>
      </c>
      <c r="BA49" s="17">
        <f>'Raw Data'!CF42</f>
        <v>0</v>
      </c>
      <c r="BB49" s="18">
        <f>'Raw Data'!CJ42</f>
        <v>0</v>
      </c>
      <c r="BC49" s="18">
        <f>'Raw Data'!CM42</f>
        <v>0</v>
      </c>
      <c r="BD49" s="18">
        <f>'Raw Data'!CO42</f>
        <v>0</v>
      </c>
      <c r="BE49" s="19">
        <f>'Raw Data'!CP42</f>
        <v>1</v>
      </c>
      <c r="BF49" s="20">
        <f>'Raw Data'!DO42/$C49</f>
        <v>0</v>
      </c>
      <c r="BG49" s="20">
        <f>'Raw Data'!DG42/$C49</f>
        <v>0</v>
      </c>
      <c r="BH49" s="20">
        <f>'Raw Data'!DK42/$C49</f>
        <v>0</v>
      </c>
      <c r="BI49" s="20">
        <f>'Raw Data'!DS42/$C49</f>
        <v>0.1</v>
      </c>
      <c r="BJ49" s="12">
        <f>'Raw Data'!DP42/$C49</f>
        <v>0</v>
      </c>
      <c r="BK49" s="12">
        <f>'Raw Data'!DH42/$C49</f>
        <v>1.2</v>
      </c>
      <c r="BL49" s="12">
        <f>'Raw Data'!DL42/$C49</f>
        <v>0.1</v>
      </c>
      <c r="BM49" s="12">
        <f>'Raw Data'!DT42/$C49</f>
        <v>0.3</v>
      </c>
      <c r="BN49" s="22">
        <f>'Raw Data'!DQ42/$C49</f>
        <v>0</v>
      </c>
      <c r="BO49" s="22">
        <f>'Raw Data'!DI42/$C49</f>
        <v>0</v>
      </c>
      <c r="BP49" s="22">
        <f>'Raw Data'!DM42/$C49</f>
        <v>0</v>
      </c>
      <c r="BQ49" s="22">
        <f>'Raw Data'!DU42/$C49</f>
        <v>0</v>
      </c>
      <c r="BR49" s="17">
        <f>'Raw Data'!DR42/$C49</f>
        <v>0</v>
      </c>
      <c r="BS49" s="17">
        <f>'Raw Data'!DJ42/$C49</f>
        <v>3.1</v>
      </c>
      <c r="BT49" s="17">
        <f>'Raw Data'!DN42/$C49</f>
        <v>0.2</v>
      </c>
      <c r="BU49" s="17">
        <f>'Raw Data'!DV42/$C49</f>
        <v>1</v>
      </c>
      <c r="BV49" s="12">
        <f>'Raw Data'!EM42</f>
        <v>2.9</v>
      </c>
      <c r="BW49" s="13">
        <f>'Raw Data'!EN42</f>
        <v>1</v>
      </c>
      <c r="BX49" s="13">
        <f>'Raw Data'!CC42</f>
        <v>0</v>
      </c>
      <c r="BY49" s="13">
        <f>SUM(AR49:AS49)</f>
        <v>6.9</v>
      </c>
    </row>
    <row r="50" spans="1:77" x14ac:dyDescent="0.25">
      <c r="A50">
        <f>'Raw Data'!A38</f>
        <v>4270</v>
      </c>
      <c r="B50" t="str">
        <f>'Raw Data'!B38</f>
        <v xml:space="preserve"> Crusaders</v>
      </c>
      <c r="C50">
        <f>'Raw Data'!C38</f>
        <v>10</v>
      </c>
      <c r="E50" s="57">
        <f>IF(_xlfn.IFNA(MATCH(A50,'Center Switch 2'!A:A, 0),0)&gt;0,1,0)</f>
        <v>0</v>
      </c>
      <c r="F50" s="57">
        <f>_xlfn.IFNA(VLOOKUP(A50,'Center Switch 2'!A:G,2,0),0)</f>
        <v>0</v>
      </c>
      <c r="G50" s="57">
        <f>_xlfn.IFNA(VLOOKUP(A50,'Center Switch 2'!A:G,4,0),0)</f>
        <v>0</v>
      </c>
      <c r="H50" s="57">
        <f>_xlfn.IFNA(VLOOKUP(A50,'Center Switch 2'!A:G,5,0),0)</f>
        <v>0</v>
      </c>
      <c r="I50" s="57">
        <f>_xlfn.IFNA(VLOOKUP(A50,'Center Switch 2'!A:G,6,0),0)</f>
        <v>0</v>
      </c>
      <c r="J50" s="57">
        <f>_xlfn.IFNA(VLOOKUP(A50,'Center Switch 2'!A:G,7,0),0)</f>
        <v>0</v>
      </c>
      <c r="K50" s="59">
        <f>AP50</f>
        <v>0.6</v>
      </c>
      <c r="L50" s="59">
        <f>AQ50</f>
        <v>0.9</v>
      </c>
      <c r="M50" s="59">
        <f>AS50</f>
        <v>5</v>
      </c>
      <c r="N50" s="59">
        <f>2*O50</f>
        <v>0.60000000000000009</v>
      </c>
      <c r="O50" s="59">
        <f>AO50</f>
        <v>0.30000000000000004</v>
      </c>
      <c r="R50" s="59">
        <f>AL50</f>
        <v>6.8</v>
      </c>
      <c r="S50" s="61">
        <f>'Raw Data'!CT38</f>
        <v>4.32</v>
      </c>
      <c r="T50" s="61">
        <f>'Raw Data'!CR38</f>
        <v>4.3330000000000002</v>
      </c>
      <c r="U50" s="61">
        <f>'Raw Data'!CW38</f>
        <v>4.55</v>
      </c>
      <c r="V50" s="61">
        <f>'Raw Data'!DA38</f>
        <v>0</v>
      </c>
      <c r="W50" s="61">
        <f>BV50</f>
        <v>3.3</v>
      </c>
      <c r="AD50" s="12">
        <f>'Raw Data'!D38</f>
        <v>1</v>
      </c>
      <c r="AE50" s="13">
        <f>'Raw Data'!E38</f>
        <v>0</v>
      </c>
      <c r="AF50" s="13">
        <f>'Raw Data'!F38</f>
        <v>9</v>
      </c>
      <c r="AG50" s="13">
        <f>'Raw Data'!G38</f>
        <v>10</v>
      </c>
      <c r="AH50" s="13">
        <f>'Raw Data'!O38</f>
        <v>4</v>
      </c>
      <c r="AI50" s="13">
        <f>'Raw Data'!T38</f>
        <v>0</v>
      </c>
      <c r="AJ50" s="13">
        <f>'Raw Data'!Y38</f>
        <v>0</v>
      </c>
      <c r="AK50" s="13">
        <f>'Raw Data'!AD38</f>
        <v>0</v>
      </c>
      <c r="AL50" s="22">
        <f>'Raw Data'!BV38</f>
        <v>6.8</v>
      </c>
      <c r="AM50" s="15">
        <f>'Raw Data'!BG38</f>
        <v>0.1</v>
      </c>
      <c r="AN50" s="15">
        <f>'Raw Data'!BL38</f>
        <v>0.2</v>
      </c>
      <c r="AO50" s="15">
        <f>AM50+AN50</f>
        <v>0.30000000000000004</v>
      </c>
      <c r="AP50" s="15">
        <f>'Raw Data'!AW38</f>
        <v>0.6</v>
      </c>
      <c r="AQ50" s="15">
        <f>'Raw Data'!BB38</f>
        <v>0.9</v>
      </c>
      <c r="AR50" s="15">
        <f>AP50+AQ50</f>
        <v>1.5</v>
      </c>
      <c r="AS50" s="15">
        <f>'Raw Data'!BQ38</f>
        <v>5</v>
      </c>
      <c r="AT50" s="16">
        <f>'Raw Data'!BY38</f>
        <v>0.2</v>
      </c>
      <c r="AU50" s="26">
        <f>'Raw Data'!AI38</f>
        <v>8.1</v>
      </c>
      <c r="AV50" s="27">
        <f>SUM(AX50:AZ50)</f>
        <v>8.1000000000000014</v>
      </c>
      <c r="AW50" s="27">
        <f>'Raw Data'!AN38</f>
        <v>0</v>
      </c>
      <c r="AX50" s="27">
        <f>'Raw Data'!AS38</f>
        <v>4.4000000000000004</v>
      </c>
      <c r="AY50" s="27">
        <f>'Raw Data'!AU38</f>
        <v>1.4</v>
      </c>
      <c r="AZ50" s="27">
        <f>'Raw Data'!AL38</f>
        <v>2.2999999999999998</v>
      </c>
      <c r="BA50" s="17">
        <f>'Raw Data'!CF38</f>
        <v>0</v>
      </c>
      <c r="BB50" s="18">
        <f>'Raw Data'!CJ38</f>
        <v>0</v>
      </c>
      <c r="BC50" s="18">
        <f>'Raw Data'!CM38</f>
        <v>0</v>
      </c>
      <c r="BD50" s="18">
        <f>'Raw Data'!CO38</f>
        <v>0</v>
      </c>
      <c r="BE50" s="19">
        <f>'Raw Data'!CP38</f>
        <v>4</v>
      </c>
      <c r="BF50" s="20">
        <f>'Raw Data'!DO38/$C50</f>
        <v>0.1</v>
      </c>
      <c r="BG50" s="20">
        <f>'Raw Data'!DG38/$C50</f>
        <v>0</v>
      </c>
      <c r="BH50" s="20">
        <f>'Raw Data'!DK38/$C50</f>
        <v>0.1</v>
      </c>
      <c r="BI50" s="20">
        <f>'Raw Data'!DS38/$C50</f>
        <v>0</v>
      </c>
      <c r="BJ50" s="12">
        <f>'Raw Data'!DP38/$C50</f>
        <v>0</v>
      </c>
      <c r="BK50" s="12">
        <f>'Raw Data'!DH38/$C50</f>
        <v>0.5</v>
      </c>
      <c r="BL50" s="12">
        <f>'Raw Data'!DL38/$C50</f>
        <v>0.2</v>
      </c>
      <c r="BM50" s="12">
        <f>'Raw Data'!DT38/$C50</f>
        <v>0</v>
      </c>
      <c r="BN50" s="22">
        <f>'Raw Data'!DQ38/$C50</f>
        <v>0</v>
      </c>
      <c r="BO50" s="22">
        <f>'Raw Data'!DI38/$C50</f>
        <v>0</v>
      </c>
      <c r="BP50" s="22">
        <f>'Raw Data'!DM38/$C50</f>
        <v>0.7</v>
      </c>
      <c r="BQ50" s="22">
        <f>'Raw Data'!DU38/$C50</f>
        <v>0.4</v>
      </c>
      <c r="BR50" s="17">
        <f>'Raw Data'!DR38/$C50</f>
        <v>0</v>
      </c>
      <c r="BS50" s="17">
        <f>'Raw Data'!DJ38/$C50</f>
        <v>4.4000000000000004</v>
      </c>
      <c r="BT50" s="17">
        <f>'Raw Data'!DN38/$C50</f>
        <v>0.4</v>
      </c>
      <c r="BU50" s="17">
        <f>'Raw Data'!DV38/$C50</f>
        <v>0.8</v>
      </c>
      <c r="BV50" s="12">
        <f>'Raw Data'!EM38</f>
        <v>3.3</v>
      </c>
      <c r="BW50" s="13">
        <f>'Raw Data'!EN38</f>
        <v>0</v>
      </c>
      <c r="BX50" s="13">
        <f>'Raw Data'!CC38</f>
        <v>22</v>
      </c>
      <c r="BY50" s="13">
        <f>SUM(AR50:AS50)</f>
        <v>6.5</v>
      </c>
    </row>
    <row r="51" spans="1:77" x14ac:dyDescent="0.25">
      <c r="A51">
        <f>'Raw Data'!A37</f>
        <v>4125</v>
      </c>
      <c r="B51" t="str">
        <f>'Raw Data'!B37</f>
        <v xml:space="preserve"> Confidential</v>
      </c>
      <c r="C51">
        <f>'Raw Data'!C37</f>
        <v>9</v>
      </c>
      <c r="E51" s="57">
        <f>IF(_xlfn.IFNA(MATCH(A51,'Center Switch 2'!A:A, 0),0)&gt;0,1,0)</f>
        <v>0</v>
      </c>
      <c r="F51" s="57">
        <f>_xlfn.IFNA(VLOOKUP(A51,'Center Switch 2'!A:G,2,0),0)</f>
        <v>0</v>
      </c>
      <c r="G51" s="57">
        <f>_xlfn.IFNA(VLOOKUP(A51,'Center Switch 2'!A:G,4,0),0)</f>
        <v>0</v>
      </c>
      <c r="H51" s="57">
        <f>_xlfn.IFNA(VLOOKUP(A51,'Center Switch 2'!A:G,5,0),0)</f>
        <v>0</v>
      </c>
      <c r="I51" s="57">
        <f>_xlfn.IFNA(VLOOKUP(A51,'Center Switch 2'!A:G,6,0),0)</f>
        <v>0</v>
      </c>
      <c r="J51" s="57">
        <f>_xlfn.IFNA(VLOOKUP(A51,'Center Switch 2'!A:G,7,0),0)</f>
        <v>0</v>
      </c>
      <c r="K51" s="59">
        <f>AP51</f>
        <v>0.44400000000000001</v>
      </c>
      <c r="L51" s="59">
        <f>AQ51</f>
        <v>2.3330000000000002</v>
      </c>
      <c r="M51" s="59">
        <f>AS51</f>
        <v>2.3330000000000002</v>
      </c>
      <c r="N51" s="59">
        <f>2*O51</f>
        <v>0.88800000000000001</v>
      </c>
      <c r="O51" s="59">
        <f>AO51</f>
        <v>0.44400000000000001</v>
      </c>
      <c r="R51" s="59">
        <f>AL51</f>
        <v>5.556</v>
      </c>
      <c r="S51" s="61">
        <f>'Raw Data'!CT37</f>
        <v>5.8890000000000002</v>
      </c>
      <c r="T51" s="61">
        <f>'Raw Data'!CR37</f>
        <v>6</v>
      </c>
      <c r="U51" s="61">
        <f>'Raw Data'!CW37</f>
        <v>7.75</v>
      </c>
      <c r="V51" s="61">
        <f>'Raw Data'!DA37</f>
        <v>7.2</v>
      </c>
      <c r="W51" s="61">
        <f>BV51</f>
        <v>3.1110000000000002</v>
      </c>
      <c r="AD51" s="12">
        <f>'Raw Data'!D37</f>
        <v>5</v>
      </c>
      <c r="AE51" s="13">
        <f>'Raw Data'!E37</f>
        <v>1</v>
      </c>
      <c r="AF51" s="13">
        <f>'Raw Data'!F37</f>
        <v>3</v>
      </c>
      <c r="AG51" s="13">
        <f>'Raw Data'!G37</f>
        <v>7</v>
      </c>
      <c r="AH51" s="13">
        <f>'Raw Data'!O37</f>
        <v>0</v>
      </c>
      <c r="AI51" s="13">
        <f>'Raw Data'!T37</f>
        <v>0</v>
      </c>
      <c r="AJ51" s="13">
        <f>'Raw Data'!Y37</f>
        <v>0</v>
      </c>
      <c r="AK51" s="13">
        <f>'Raw Data'!AD37</f>
        <v>0</v>
      </c>
      <c r="AL51" s="22">
        <f>'Raw Data'!BV37</f>
        <v>5.556</v>
      </c>
      <c r="AM51" s="15">
        <f>'Raw Data'!BG37</f>
        <v>0.222</v>
      </c>
      <c r="AN51" s="15">
        <f>'Raw Data'!BL37</f>
        <v>0.222</v>
      </c>
      <c r="AO51" s="15">
        <f>AM51+AN51</f>
        <v>0.44400000000000001</v>
      </c>
      <c r="AP51" s="15">
        <f>'Raw Data'!AW37</f>
        <v>0.44400000000000001</v>
      </c>
      <c r="AQ51" s="15">
        <f>'Raw Data'!BB37</f>
        <v>2.3330000000000002</v>
      </c>
      <c r="AR51" s="15">
        <f>AP51+AQ51</f>
        <v>2.7770000000000001</v>
      </c>
      <c r="AS51" s="15">
        <f>'Raw Data'!BQ37</f>
        <v>2.3330000000000002</v>
      </c>
      <c r="AT51" s="16">
        <f>'Raw Data'!BY37</f>
        <v>0.222</v>
      </c>
      <c r="AU51" s="26">
        <f>'Raw Data'!AI37</f>
        <v>6.1109999999999998</v>
      </c>
      <c r="AV51" s="27">
        <f>SUM(AX51:AZ51)</f>
        <v>4.1110000000000007</v>
      </c>
      <c r="AW51" s="27">
        <f>'Raw Data'!AN37</f>
        <v>2</v>
      </c>
      <c r="AX51" s="27">
        <f>'Raw Data'!AS37</f>
        <v>2.1110000000000002</v>
      </c>
      <c r="AY51" s="27">
        <f>'Raw Data'!AU37</f>
        <v>1.111</v>
      </c>
      <c r="AZ51" s="27">
        <f>'Raw Data'!AL37</f>
        <v>0.88900000000000001</v>
      </c>
      <c r="BA51" s="17">
        <f>'Raw Data'!CF37</f>
        <v>0</v>
      </c>
      <c r="BB51" s="18">
        <f>'Raw Data'!CJ37</f>
        <v>0</v>
      </c>
      <c r="BC51" s="18">
        <f>'Raw Data'!CM37</f>
        <v>0</v>
      </c>
      <c r="BD51" s="18">
        <f>'Raw Data'!CO37</f>
        <v>0</v>
      </c>
      <c r="BE51" s="19">
        <f>'Raw Data'!CP37</f>
        <v>2</v>
      </c>
      <c r="BF51" s="20">
        <f>'Raw Data'!DO37/$C51</f>
        <v>0</v>
      </c>
      <c r="BG51" s="20">
        <f>'Raw Data'!DG37/$C51</f>
        <v>0</v>
      </c>
      <c r="BH51" s="20">
        <f>'Raw Data'!DK37/$C51</f>
        <v>0</v>
      </c>
      <c r="BI51" s="20">
        <f>'Raw Data'!DS37/$C51</f>
        <v>0.22222222222222221</v>
      </c>
      <c r="BJ51" s="12">
        <f>'Raw Data'!DP37/$C51</f>
        <v>0.1111111111111111</v>
      </c>
      <c r="BK51" s="12">
        <f>'Raw Data'!DH37/$C51</f>
        <v>0.1111111111111111</v>
      </c>
      <c r="BL51" s="12">
        <f>'Raw Data'!DL37/$C51</f>
        <v>0.1111111111111111</v>
      </c>
      <c r="BM51" s="12">
        <f>'Raw Data'!DT37/$C51</f>
        <v>0</v>
      </c>
      <c r="BN51" s="22">
        <f>'Raw Data'!DQ37/$C51</f>
        <v>1.6666666666666667</v>
      </c>
      <c r="BO51" s="22">
        <f>'Raw Data'!DI37/$C51</f>
        <v>0</v>
      </c>
      <c r="BP51" s="22">
        <f>'Raw Data'!DM37/$C51</f>
        <v>0.33333333333333331</v>
      </c>
      <c r="BQ51" s="22">
        <f>'Raw Data'!DU37/$C51</f>
        <v>0.1111111111111111</v>
      </c>
      <c r="BR51" s="17">
        <f>'Raw Data'!DR37/$C51</f>
        <v>0</v>
      </c>
      <c r="BS51" s="17">
        <f>'Raw Data'!DJ37/$C51</f>
        <v>2</v>
      </c>
      <c r="BT51" s="17">
        <f>'Raw Data'!DN37/$C51</f>
        <v>0.1111111111111111</v>
      </c>
      <c r="BU51" s="17">
        <f>'Raw Data'!DV37/$C51</f>
        <v>0</v>
      </c>
      <c r="BV51" s="12">
        <f>'Raw Data'!EM37</f>
        <v>3.1110000000000002</v>
      </c>
      <c r="BW51" s="13">
        <f>'Raw Data'!EN37</f>
        <v>3.6669999999999998</v>
      </c>
      <c r="BX51" s="13">
        <f>'Raw Data'!CC37</f>
        <v>11</v>
      </c>
      <c r="BY51" s="13">
        <f>SUM(AR51:AS51)</f>
        <v>5.1100000000000003</v>
      </c>
    </row>
    <row r="52" spans="1:77" x14ac:dyDescent="0.25">
      <c r="A52">
        <f>'Raw Data'!A58</f>
        <v>6645</v>
      </c>
      <c r="B52" t="str">
        <f>'Raw Data'!B58</f>
        <v xml:space="preserve"> Alloy Obsession</v>
      </c>
      <c r="C52">
        <f>'Raw Data'!C58</f>
        <v>10</v>
      </c>
      <c r="E52" s="57">
        <f>IF(_xlfn.IFNA(MATCH(A52,'Center Switch 2'!A:A, 0),0)&gt;0,1,0)</f>
        <v>0</v>
      </c>
      <c r="F52" s="57">
        <f>_xlfn.IFNA(VLOOKUP(A52,'Center Switch 2'!A:G,2,0),0)</f>
        <v>0</v>
      </c>
      <c r="G52" s="57">
        <f>_xlfn.IFNA(VLOOKUP(A52,'Center Switch 2'!A:G,4,0),0)</f>
        <v>0</v>
      </c>
      <c r="H52" s="57">
        <f>_xlfn.IFNA(VLOOKUP(A52,'Center Switch 2'!A:G,5,0),0)</f>
        <v>0</v>
      </c>
      <c r="I52" s="57">
        <f>_xlfn.IFNA(VLOOKUP(A52,'Center Switch 2'!A:G,6,0),0)</f>
        <v>0</v>
      </c>
      <c r="J52" s="57">
        <f>_xlfn.IFNA(VLOOKUP(A52,'Center Switch 2'!A:G,7,0),0)</f>
        <v>0</v>
      </c>
      <c r="K52" s="59">
        <f>AP52</f>
        <v>0</v>
      </c>
      <c r="L52" s="59">
        <f>AQ52</f>
        <v>0</v>
      </c>
      <c r="M52" s="59">
        <f>AS52</f>
        <v>4.5</v>
      </c>
      <c r="N52" s="59">
        <f>2*O52</f>
        <v>0</v>
      </c>
      <c r="O52" s="59">
        <f>AO52</f>
        <v>0</v>
      </c>
      <c r="R52" s="59">
        <f>AL52</f>
        <v>4.5</v>
      </c>
      <c r="S52" s="61">
        <f>'Raw Data'!CT58</f>
        <v>11.096</v>
      </c>
      <c r="T52" s="61">
        <f>'Raw Data'!CR58</f>
        <v>0</v>
      </c>
      <c r="U52" s="61">
        <f>'Raw Data'!CW58</f>
        <v>0</v>
      </c>
      <c r="V52" s="61">
        <f>'Raw Data'!DA58</f>
        <v>0</v>
      </c>
      <c r="W52" s="61">
        <f>BV52</f>
        <v>2.4</v>
      </c>
      <c r="AD52" s="12">
        <f>'Raw Data'!D58</f>
        <v>4</v>
      </c>
      <c r="AE52" s="13">
        <f>'Raw Data'!E58</f>
        <v>0</v>
      </c>
      <c r="AF52" s="13">
        <f>'Raw Data'!F58</f>
        <v>5</v>
      </c>
      <c r="AG52" s="13">
        <f>'Raw Data'!G58</f>
        <v>9</v>
      </c>
      <c r="AH52" s="13">
        <f>'Raw Data'!O58</f>
        <v>0</v>
      </c>
      <c r="AI52" s="13">
        <f>'Raw Data'!T58</f>
        <v>0</v>
      </c>
      <c r="AJ52" s="13">
        <f>'Raw Data'!Y58</f>
        <v>0</v>
      </c>
      <c r="AK52" s="13">
        <f>'Raw Data'!AD58</f>
        <v>0</v>
      </c>
      <c r="AL52" s="22">
        <f>'Raw Data'!BV58</f>
        <v>4.5</v>
      </c>
      <c r="AM52" s="15">
        <f>'Raw Data'!BG58</f>
        <v>0</v>
      </c>
      <c r="AN52" s="15">
        <f>'Raw Data'!BL58</f>
        <v>0</v>
      </c>
      <c r="AO52" s="15">
        <f>AM52+AN52</f>
        <v>0</v>
      </c>
      <c r="AP52" s="15">
        <f>'Raw Data'!AW58</f>
        <v>0</v>
      </c>
      <c r="AQ52" s="15">
        <f>'Raw Data'!BB58</f>
        <v>0</v>
      </c>
      <c r="AR52" s="15">
        <f>AP52+AQ52</f>
        <v>0</v>
      </c>
      <c r="AS52" s="15">
        <f>'Raw Data'!BQ58</f>
        <v>4.5</v>
      </c>
      <c r="AT52" s="16">
        <f>'Raw Data'!BY58</f>
        <v>0.2</v>
      </c>
      <c r="AU52" s="26">
        <f>'Raw Data'!AI58</f>
        <v>4.2</v>
      </c>
      <c r="AV52" s="27">
        <f>SUM(AX52:AZ52)</f>
        <v>4.2</v>
      </c>
      <c r="AW52" s="27">
        <f>'Raw Data'!AN58</f>
        <v>0</v>
      </c>
      <c r="AX52" s="27">
        <f>'Raw Data'!AS58</f>
        <v>3.6</v>
      </c>
      <c r="AY52" s="27">
        <f>'Raw Data'!AU58</f>
        <v>0</v>
      </c>
      <c r="AZ52" s="27">
        <f>'Raw Data'!AL58</f>
        <v>0.6</v>
      </c>
      <c r="BA52" s="17">
        <f>'Raw Data'!CF58</f>
        <v>0</v>
      </c>
      <c r="BB52" s="18">
        <f>'Raw Data'!CJ58</f>
        <v>0</v>
      </c>
      <c r="BC52" s="18">
        <f>'Raw Data'!CM58</f>
        <v>0</v>
      </c>
      <c r="BD52" s="18">
        <f>'Raw Data'!CO58</f>
        <v>0</v>
      </c>
      <c r="BE52" s="19">
        <f>'Raw Data'!CP58</f>
        <v>1</v>
      </c>
      <c r="BF52" s="20">
        <f>'Raw Data'!DO58/$C52</f>
        <v>0</v>
      </c>
      <c r="BG52" s="20">
        <f>'Raw Data'!DG58/$C52</f>
        <v>0</v>
      </c>
      <c r="BH52" s="20">
        <f>'Raw Data'!DK58/$C52</f>
        <v>0</v>
      </c>
      <c r="BI52" s="20">
        <f>'Raw Data'!DS58/$C52</f>
        <v>0</v>
      </c>
      <c r="BJ52" s="12">
        <f>'Raw Data'!DP58/$C52</f>
        <v>0</v>
      </c>
      <c r="BK52" s="12">
        <f>'Raw Data'!DH58/$C52</f>
        <v>0</v>
      </c>
      <c r="BL52" s="12">
        <f>'Raw Data'!DL58/$C52</f>
        <v>0</v>
      </c>
      <c r="BM52" s="12">
        <f>'Raw Data'!DT58/$C52</f>
        <v>0</v>
      </c>
      <c r="BN52" s="22">
        <f>'Raw Data'!DQ58/$C52</f>
        <v>0</v>
      </c>
      <c r="BO52" s="22">
        <f>'Raw Data'!DI58/$C52</f>
        <v>0</v>
      </c>
      <c r="BP52" s="22">
        <f>'Raw Data'!DM58/$C52</f>
        <v>0</v>
      </c>
      <c r="BQ52" s="22">
        <f>'Raw Data'!DU58/$C52</f>
        <v>0</v>
      </c>
      <c r="BR52" s="17">
        <f>'Raw Data'!DR58/$C52</f>
        <v>0</v>
      </c>
      <c r="BS52" s="17">
        <f>'Raw Data'!DJ58/$C52</f>
        <v>3.6</v>
      </c>
      <c r="BT52" s="17">
        <f>'Raw Data'!DN58/$C52</f>
        <v>0</v>
      </c>
      <c r="BU52" s="17">
        <f>'Raw Data'!DV58/$C52</f>
        <v>0.4</v>
      </c>
      <c r="BV52" s="12">
        <f>'Raw Data'!EM58</f>
        <v>2.4</v>
      </c>
      <c r="BW52" s="13">
        <f>'Raw Data'!EN58</f>
        <v>2.3330000000000002</v>
      </c>
      <c r="BX52" s="13">
        <f>'Raw Data'!CC58</f>
        <v>0</v>
      </c>
      <c r="BY52" s="13">
        <f>SUM(AR52:AS52)</f>
        <v>4.5</v>
      </c>
    </row>
    <row r="53" spans="1:77" x14ac:dyDescent="0.25">
      <c r="A53">
        <f>'Raw Data'!A30</f>
        <v>3472</v>
      </c>
      <c r="B53" t="str">
        <f>'Raw Data'!B30</f>
        <v xml:space="preserve"> Buluk</v>
      </c>
      <c r="C53">
        <f>'Raw Data'!C30</f>
        <v>10</v>
      </c>
      <c r="E53" s="57">
        <f>IF(_xlfn.IFNA(MATCH(A53,'Center Switch 2'!A:A, 0),0)&gt;0,1,0)</f>
        <v>0</v>
      </c>
      <c r="F53" s="57">
        <f>_xlfn.IFNA(VLOOKUP(A53,'Center Switch 2'!A:G,2,0),0)</f>
        <v>0</v>
      </c>
      <c r="G53" s="57">
        <f>_xlfn.IFNA(VLOOKUP(A53,'Center Switch 2'!A:G,4,0),0)</f>
        <v>0</v>
      </c>
      <c r="H53" s="57">
        <f>_xlfn.IFNA(VLOOKUP(A53,'Center Switch 2'!A:G,5,0),0)</f>
        <v>0</v>
      </c>
      <c r="I53" s="57">
        <f>_xlfn.IFNA(VLOOKUP(A53,'Center Switch 2'!A:G,6,0),0)</f>
        <v>0</v>
      </c>
      <c r="J53" s="57">
        <f>_xlfn.IFNA(VLOOKUP(A53,'Center Switch 2'!A:G,7,0),0)</f>
        <v>0</v>
      </c>
      <c r="K53" s="59">
        <f>AP53</f>
        <v>0.5</v>
      </c>
      <c r="L53" s="59">
        <f>AQ53</f>
        <v>0.1</v>
      </c>
      <c r="M53" s="59">
        <f>AS53</f>
        <v>3</v>
      </c>
      <c r="N53" s="59">
        <f>2*O53</f>
        <v>1</v>
      </c>
      <c r="O53" s="59">
        <f>AO53</f>
        <v>0.5</v>
      </c>
      <c r="R53" s="59">
        <f>AL53</f>
        <v>4.0999999999999996</v>
      </c>
      <c r="S53" s="61">
        <f>'Raw Data'!CT30</f>
        <v>6.6829999999999998</v>
      </c>
      <c r="T53" s="61">
        <f>'Raw Data'!CR30</f>
        <v>6</v>
      </c>
      <c r="U53" s="61">
        <f>'Raw Data'!CW30</f>
        <v>13</v>
      </c>
      <c r="V53" s="61">
        <f>'Raw Data'!DA30</f>
        <v>15</v>
      </c>
      <c r="W53" s="61">
        <f>BV53</f>
        <v>2.2000000000000002</v>
      </c>
      <c r="AD53" s="12">
        <f>'Raw Data'!D30</f>
        <v>4</v>
      </c>
      <c r="AE53" s="13">
        <f>'Raw Data'!E30</f>
        <v>1</v>
      </c>
      <c r="AF53" s="13">
        <f>'Raw Data'!F30</f>
        <v>5</v>
      </c>
      <c r="AG53" s="13">
        <f>'Raw Data'!G30</f>
        <v>7</v>
      </c>
      <c r="AH53" s="13">
        <f>'Raw Data'!O30</f>
        <v>1</v>
      </c>
      <c r="AI53" s="13">
        <f>'Raw Data'!T30</f>
        <v>0</v>
      </c>
      <c r="AJ53" s="13">
        <f>'Raw Data'!Y30</f>
        <v>0</v>
      </c>
      <c r="AK53" s="13">
        <f>'Raw Data'!AD30</f>
        <v>0</v>
      </c>
      <c r="AL53" s="22">
        <f>'Raw Data'!BV30</f>
        <v>4.0999999999999996</v>
      </c>
      <c r="AM53" s="15">
        <f>'Raw Data'!BG30</f>
        <v>0.3</v>
      </c>
      <c r="AN53" s="15">
        <f>'Raw Data'!BL30</f>
        <v>0.2</v>
      </c>
      <c r="AO53" s="15">
        <f>AM53+AN53</f>
        <v>0.5</v>
      </c>
      <c r="AP53" s="15">
        <f>'Raw Data'!AW30</f>
        <v>0.5</v>
      </c>
      <c r="AQ53" s="15">
        <f>'Raw Data'!BB30</f>
        <v>0.1</v>
      </c>
      <c r="AR53" s="15">
        <f>AP53+AQ53</f>
        <v>0.6</v>
      </c>
      <c r="AS53" s="15">
        <f>'Raw Data'!BQ30</f>
        <v>3</v>
      </c>
      <c r="AT53" s="16">
        <f>'Raw Data'!BY30</f>
        <v>0.2</v>
      </c>
      <c r="AU53" s="26">
        <f>'Raw Data'!AI30</f>
        <v>3.4</v>
      </c>
      <c r="AV53" s="27">
        <f>SUM(AX53:AZ53)</f>
        <v>3.2</v>
      </c>
      <c r="AW53" s="27">
        <f>'Raw Data'!AN30</f>
        <v>0.2</v>
      </c>
      <c r="AX53" s="27">
        <f>'Raw Data'!AS30</f>
        <v>1.9</v>
      </c>
      <c r="AY53" s="27">
        <f>'Raw Data'!AU30</f>
        <v>0.6</v>
      </c>
      <c r="AZ53" s="27">
        <f>'Raw Data'!AL30</f>
        <v>0.7</v>
      </c>
      <c r="BA53" s="17">
        <f>'Raw Data'!CF30</f>
        <v>0</v>
      </c>
      <c r="BB53" s="18">
        <f>'Raw Data'!CJ30</f>
        <v>0</v>
      </c>
      <c r="BC53" s="18">
        <f>'Raw Data'!CM30</f>
        <v>0</v>
      </c>
      <c r="BD53" s="18">
        <f>'Raw Data'!CO30</f>
        <v>0</v>
      </c>
      <c r="BE53" s="19">
        <f>'Raw Data'!CP30</f>
        <v>7</v>
      </c>
      <c r="BF53" s="20">
        <f>'Raw Data'!DO30/$C53</f>
        <v>0</v>
      </c>
      <c r="BG53" s="20">
        <f>'Raw Data'!DG30/$C53</f>
        <v>0</v>
      </c>
      <c r="BH53" s="20">
        <f>'Raw Data'!DK30/$C53</f>
        <v>0.5</v>
      </c>
      <c r="BI53" s="20">
        <f>'Raw Data'!DS30/$C53</f>
        <v>0.1</v>
      </c>
      <c r="BJ53" s="12">
        <f>'Raw Data'!DP30/$C53</f>
        <v>0.1</v>
      </c>
      <c r="BK53" s="12">
        <f>'Raw Data'!DH30/$C53</f>
        <v>0.4</v>
      </c>
      <c r="BL53" s="12">
        <f>'Raw Data'!DL30/$C53</f>
        <v>0.3</v>
      </c>
      <c r="BM53" s="12">
        <f>'Raw Data'!DT30/$C53</f>
        <v>0</v>
      </c>
      <c r="BN53" s="22">
        <f>'Raw Data'!DQ30/$C53</f>
        <v>0.1</v>
      </c>
      <c r="BO53" s="22">
        <f>'Raw Data'!DI30/$C53</f>
        <v>0</v>
      </c>
      <c r="BP53" s="22">
        <f>'Raw Data'!DM30/$C53</f>
        <v>0.1</v>
      </c>
      <c r="BQ53" s="22">
        <f>'Raw Data'!DU30/$C53</f>
        <v>0</v>
      </c>
      <c r="BR53" s="17">
        <f>'Raw Data'!DR30/$C53</f>
        <v>0</v>
      </c>
      <c r="BS53" s="17">
        <f>'Raw Data'!DJ30/$C53</f>
        <v>1.7</v>
      </c>
      <c r="BT53" s="17">
        <f>'Raw Data'!DN30/$C53</f>
        <v>0.1</v>
      </c>
      <c r="BU53" s="17">
        <f>'Raw Data'!DV30/$C53</f>
        <v>0.2</v>
      </c>
      <c r="BV53" s="12">
        <f>'Raw Data'!EM30</f>
        <v>2.2000000000000002</v>
      </c>
      <c r="BW53" s="13">
        <f>'Raw Data'!EN30</f>
        <v>0</v>
      </c>
      <c r="BX53" s="13">
        <f>'Raw Data'!CC30</f>
        <v>11</v>
      </c>
      <c r="BY53" s="13">
        <f>SUM(AR53:AS53)</f>
        <v>3.6</v>
      </c>
    </row>
    <row r="54" spans="1:77" x14ac:dyDescent="0.25">
      <c r="A54">
        <f>'Raw Data'!A21</f>
        <v>2840</v>
      </c>
      <c r="B54" t="str">
        <f>'Raw Data'!B21</f>
        <v xml:space="preserve"> Blue Tide</v>
      </c>
      <c r="C54">
        <f>'Raw Data'!C21</f>
        <v>10</v>
      </c>
      <c r="E54" s="57">
        <f>IF(_xlfn.IFNA(MATCH(A54,'Center Switch 2'!A:A, 0),0)&gt;0,1,0)</f>
        <v>0</v>
      </c>
      <c r="F54" s="57">
        <f>_xlfn.IFNA(VLOOKUP(A54,'Center Switch 2'!A:G,2,0),0)</f>
        <v>0</v>
      </c>
      <c r="G54" s="57">
        <f>_xlfn.IFNA(VLOOKUP(A54,'Center Switch 2'!A:G,4,0),0)</f>
        <v>0</v>
      </c>
      <c r="H54" s="57">
        <f>_xlfn.IFNA(VLOOKUP(A54,'Center Switch 2'!A:G,5,0),0)</f>
        <v>0</v>
      </c>
      <c r="I54" s="57">
        <f>_xlfn.IFNA(VLOOKUP(A54,'Center Switch 2'!A:G,6,0),0)</f>
        <v>0</v>
      </c>
      <c r="J54" s="57">
        <f>_xlfn.IFNA(VLOOKUP(A54,'Center Switch 2'!A:G,7,0),0)</f>
        <v>0</v>
      </c>
      <c r="K54" s="59">
        <f>AP54</f>
        <v>1.4</v>
      </c>
      <c r="L54" s="59">
        <f>AQ54</f>
        <v>0.2</v>
      </c>
      <c r="M54" s="59">
        <f>AS54</f>
        <v>2.2000000000000002</v>
      </c>
      <c r="N54" s="59">
        <f>2*O54</f>
        <v>0</v>
      </c>
      <c r="O54" s="59">
        <f>AO54</f>
        <v>0</v>
      </c>
      <c r="R54" s="59">
        <f>AL54</f>
        <v>3.8</v>
      </c>
      <c r="S54" s="61">
        <f>'Raw Data'!CT21</f>
        <v>8.6829999999999998</v>
      </c>
      <c r="T54" s="61">
        <f>'Raw Data'!CR21</f>
        <v>10.667</v>
      </c>
      <c r="U54" s="61">
        <f>'Raw Data'!CW21</f>
        <v>0</v>
      </c>
      <c r="V54" s="61">
        <f>'Raw Data'!DA21</f>
        <v>0</v>
      </c>
      <c r="W54" s="61">
        <f>BV54</f>
        <v>2.2999999999999998</v>
      </c>
      <c r="AD54" s="12">
        <f>'Raw Data'!D21</f>
        <v>2</v>
      </c>
      <c r="AE54" s="13">
        <f>'Raw Data'!E21</f>
        <v>0</v>
      </c>
      <c r="AF54" s="13">
        <f>'Raw Data'!F21</f>
        <v>8</v>
      </c>
      <c r="AG54" s="13">
        <f>'Raw Data'!G21</f>
        <v>9</v>
      </c>
      <c r="AH54" s="13">
        <f>'Raw Data'!O21</f>
        <v>0</v>
      </c>
      <c r="AI54" s="13">
        <f>'Raw Data'!T21</f>
        <v>0</v>
      </c>
      <c r="AJ54" s="13">
        <f>'Raw Data'!Y21</f>
        <v>0</v>
      </c>
      <c r="AK54" s="13">
        <f>'Raw Data'!AD21</f>
        <v>0</v>
      </c>
      <c r="AL54" s="22">
        <f>'Raw Data'!BV21</f>
        <v>3.8</v>
      </c>
      <c r="AM54" s="15">
        <f>'Raw Data'!BG21</f>
        <v>0</v>
      </c>
      <c r="AN54" s="15">
        <f>'Raw Data'!BL21</f>
        <v>0</v>
      </c>
      <c r="AO54" s="15">
        <f>AM54+AN54</f>
        <v>0</v>
      </c>
      <c r="AP54" s="15">
        <f>'Raw Data'!AW21</f>
        <v>1.4</v>
      </c>
      <c r="AQ54" s="15">
        <f>'Raw Data'!BB21</f>
        <v>0.2</v>
      </c>
      <c r="AR54" s="15">
        <f>AP54+AQ54</f>
        <v>1.5999999999999999</v>
      </c>
      <c r="AS54" s="15">
        <f>'Raw Data'!BQ21</f>
        <v>2.2000000000000002</v>
      </c>
      <c r="AT54" s="16">
        <f>'Raw Data'!BY21</f>
        <v>0.3</v>
      </c>
      <c r="AU54" s="26">
        <f>'Raw Data'!AI21</f>
        <v>3.2</v>
      </c>
      <c r="AV54" s="27">
        <f>SUM(AX54:AZ54)</f>
        <v>3.2</v>
      </c>
      <c r="AW54" s="27">
        <f>'Raw Data'!AN21</f>
        <v>0</v>
      </c>
      <c r="AX54" s="27">
        <f>'Raw Data'!AS21</f>
        <v>1.7</v>
      </c>
      <c r="AY54" s="27">
        <f>'Raw Data'!AU21</f>
        <v>0</v>
      </c>
      <c r="AZ54" s="27">
        <f>'Raw Data'!AL21</f>
        <v>1.5</v>
      </c>
      <c r="BA54" s="17">
        <f>'Raw Data'!CF21</f>
        <v>0</v>
      </c>
      <c r="BB54" s="18">
        <f>'Raw Data'!CJ21</f>
        <v>0</v>
      </c>
      <c r="BC54" s="18">
        <f>'Raw Data'!CM21</f>
        <v>0</v>
      </c>
      <c r="BD54" s="18">
        <f>'Raw Data'!CO21</f>
        <v>0</v>
      </c>
      <c r="BE54" s="19">
        <f>'Raw Data'!CP21</f>
        <v>7</v>
      </c>
      <c r="BF54" s="20">
        <f>'Raw Data'!DO21/$C54</f>
        <v>0</v>
      </c>
      <c r="BG54" s="20">
        <f>'Raw Data'!DG21/$C54</f>
        <v>0</v>
      </c>
      <c r="BH54" s="20">
        <f>'Raw Data'!DK21/$C54</f>
        <v>0</v>
      </c>
      <c r="BI54" s="20">
        <f>'Raw Data'!DS21/$C54</f>
        <v>0</v>
      </c>
      <c r="BJ54" s="12">
        <f>'Raw Data'!DP21/$C54</f>
        <v>0</v>
      </c>
      <c r="BK54" s="12">
        <f>'Raw Data'!DH21/$C54</f>
        <v>0.4</v>
      </c>
      <c r="BL54" s="12">
        <f>'Raw Data'!DL21/$C54</f>
        <v>0</v>
      </c>
      <c r="BM54" s="12">
        <f>'Raw Data'!DT21/$C54</f>
        <v>0.4</v>
      </c>
      <c r="BN54" s="22">
        <f>'Raw Data'!DQ21/$C54</f>
        <v>0</v>
      </c>
      <c r="BO54" s="22">
        <f>'Raw Data'!DI21/$C54</f>
        <v>0</v>
      </c>
      <c r="BP54" s="22">
        <f>'Raw Data'!DM21/$C54</f>
        <v>0</v>
      </c>
      <c r="BQ54" s="22">
        <f>'Raw Data'!DU21/$C54</f>
        <v>0.2</v>
      </c>
      <c r="BR54" s="17">
        <f>'Raw Data'!DR21/$C54</f>
        <v>0</v>
      </c>
      <c r="BS54" s="17">
        <f>'Raw Data'!DJ21/$C54</f>
        <v>1.3</v>
      </c>
      <c r="BT54" s="17">
        <f>'Raw Data'!DN21/$C54</f>
        <v>0</v>
      </c>
      <c r="BU54" s="17">
        <f>'Raw Data'!DV21/$C54</f>
        <v>0.8</v>
      </c>
      <c r="BV54" s="12">
        <f>'Raw Data'!EM21</f>
        <v>2.2999999999999998</v>
      </c>
      <c r="BW54" s="13">
        <f>'Raw Data'!EN21</f>
        <v>3</v>
      </c>
      <c r="BX54" s="13">
        <f>'Raw Data'!CC21</f>
        <v>0</v>
      </c>
      <c r="BY54" s="13">
        <f>SUM(AR54:AS54)</f>
        <v>3.8</v>
      </c>
    </row>
    <row r="55" spans="1:77" x14ac:dyDescent="0.25">
      <c r="A55">
        <f>'Raw Data'!A49</f>
        <v>5726</v>
      </c>
      <c r="B55" t="str">
        <f>'Raw Data'!B49</f>
        <v xml:space="preserve"> RHUMBOTZ</v>
      </c>
      <c r="C55">
        <f>'Raw Data'!C49</f>
        <v>10</v>
      </c>
      <c r="E55" s="57">
        <f>IF(_xlfn.IFNA(MATCH(A55,'Center Switch 2'!A:A, 0),0)&gt;0,1,0)</f>
        <v>0</v>
      </c>
      <c r="F55" s="57">
        <f>_xlfn.IFNA(VLOOKUP(A55,'Center Switch 2'!A:G,2,0),0)</f>
        <v>0</v>
      </c>
      <c r="G55" s="57">
        <f>_xlfn.IFNA(VLOOKUP(A55,'Center Switch 2'!A:G,4,0),0)</f>
        <v>0</v>
      </c>
      <c r="H55" s="57">
        <f>_xlfn.IFNA(VLOOKUP(A55,'Center Switch 2'!A:G,5,0),0)</f>
        <v>0</v>
      </c>
      <c r="I55" s="57">
        <f>_xlfn.IFNA(VLOOKUP(A55,'Center Switch 2'!A:G,6,0),0)</f>
        <v>0</v>
      </c>
      <c r="J55" s="57">
        <f>_xlfn.IFNA(VLOOKUP(A55,'Center Switch 2'!A:G,7,0),0)</f>
        <v>0</v>
      </c>
      <c r="K55" s="59">
        <f>AP55</f>
        <v>0.7</v>
      </c>
      <c r="L55" s="59">
        <f>AQ55</f>
        <v>0</v>
      </c>
      <c r="M55" s="59">
        <f>AS55</f>
        <v>2.8</v>
      </c>
      <c r="N55" s="59">
        <f>2*O55</f>
        <v>0</v>
      </c>
      <c r="O55" s="59">
        <f>AO55</f>
        <v>0</v>
      </c>
      <c r="R55" s="59">
        <f>AL55</f>
        <v>3.5</v>
      </c>
      <c r="S55" s="61">
        <f>'Raw Data'!CT49</f>
        <v>8.6880000000000006</v>
      </c>
      <c r="T55" s="61">
        <f>'Raw Data'!CR49</f>
        <v>8.1669999999999998</v>
      </c>
      <c r="U55" s="61">
        <f>'Raw Data'!CW49</f>
        <v>0</v>
      </c>
      <c r="V55" s="61">
        <f>'Raw Data'!DA49</f>
        <v>0</v>
      </c>
      <c r="W55" s="61">
        <f>BV55</f>
        <v>2.2999999999999998</v>
      </c>
      <c r="AD55" s="12">
        <f>'Raw Data'!D49</f>
        <v>5</v>
      </c>
      <c r="AE55" s="13">
        <f>'Raw Data'!E49</f>
        <v>1</v>
      </c>
      <c r="AF55" s="13">
        <f>'Raw Data'!F49</f>
        <v>4</v>
      </c>
      <c r="AG55" s="13">
        <f>'Raw Data'!G49</f>
        <v>10</v>
      </c>
      <c r="AH55" s="13">
        <f>'Raw Data'!O49</f>
        <v>0</v>
      </c>
      <c r="AI55" s="13">
        <f>'Raw Data'!T49</f>
        <v>0</v>
      </c>
      <c r="AJ55" s="13">
        <f>'Raw Data'!Y49</f>
        <v>0</v>
      </c>
      <c r="AK55" s="13">
        <f>'Raw Data'!AD49</f>
        <v>0</v>
      </c>
      <c r="AL55" s="22">
        <f>'Raw Data'!BV49</f>
        <v>3.5</v>
      </c>
      <c r="AM55" s="15">
        <f>'Raw Data'!BG49</f>
        <v>0</v>
      </c>
      <c r="AN55" s="15">
        <f>'Raw Data'!BL49</f>
        <v>0</v>
      </c>
      <c r="AO55" s="15">
        <f>AM55+AN55</f>
        <v>0</v>
      </c>
      <c r="AP55" s="15">
        <f>'Raw Data'!AW49</f>
        <v>0.7</v>
      </c>
      <c r="AQ55" s="15">
        <f>'Raw Data'!BB49</f>
        <v>0</v>
      </c>
      <c r="AR55" s="15">
        <f>AP55+AQ55</f>
        <v>0.7</v>
      </c>
      <c r="AS55" s="15">
        <f>'Raw Data'!BQ49</f>
        <v>2.8</v>
      </c>
      <c r="AT55" s="16">
        <f>'Raw Data'!BY49</f>
        <v>0.1</v>
      </c>
      <c r="AU55" s="26">
        <f>'Raw Data'!AI49</f>
        <v>3.4</v>
      </c>
      <c r="AV55" s="27">
        <f>SUM(AX55:AZ55)</f>
        <v>3.4000000000000004</v>
      </c>
      <c r="AW55" s="27">
        <f>'Raw Data'!AN49</f>
        <v>0</v>
      </c>
      <c r="AX55" s="27">
        <f>'Raw Data'!AS49</f>
        <v>2.6</v>
      </c>
      <c r="AY55" s="27">
        <f>'Raw Data'!AU49</f>
        <v>0.2</v>
      </c>
      <c r="AZ55" s="27">
        <f>'Raw Data'!AL49</f>
        <v>0.6</v>
      </c>
      <c r="BA55" s="17">
        <f>'Raw Data'!CF49</f>
        <v>0</v>
      </c>
      <c r="BB55" s="18">
        <f>'Raw Data'!CJ49</f>
        <v>0</v>
      </c>
      <c r="BC55" s="18">
        <f>'Raw Data'!CM49</f>
        <v>0</v>
      </c>
      <c r="BD55" s="18">
        <f>'Raw Data'!CO49</f>
        <v>0</v>
      </c>
      <c r="BE55" s="19">
        <f>'Raw Data'!CP49</f>
        <v>3</v>
      </c>
      <c r="BF55" s="20">
        <f>'Raw Data'!DO49/$C55</f>
        <v>0</v>
      </c>
      <c r="BG55" s="20">
        <f>'Raw Data'!DG49/$C55</f>
        <v>0</v>
      </c>
      <c r="BH55" s="20">
        <f>'Raw Data'!DK49/$C55</f>
        <v>0</v>
      </c>
      <c r="BI55" s="20">
        <f>'Raw Data'!DS49/$C55</f>
        <v>0</v>
      </c>
      <c r="BJ55" s="12">
        <f>'Raw Data'!DP49/$C55</f>
        <v>0</v>
      </c>
      <c r="BK55" s="12">
        <f>'Raw Data'!DH49/$C55</f>
        <v>0.4</v>
      </c>
      <c r="BL55" s="12">
        <f>'Raw Data'!DL49/$C55</f>
        <v>0.3</v>
      </c>
      <c r="BM55" s="12">
        <f>'Raw Data'!DT49/$C55</f>
        <v>0</v>
      </c>
      <c r="BN55" s="22">
        <f>'Raw Data'!DQ49/$C55</f>
        <v>0</v>
      </c>
      <c r="BO55" s="22">
        <f>'Raw Data'!DI49/$C55</f>
        <v>0</v>
      </c>
      <c r="BP55" s="22">
        <f>'Raw Data'!DM49/$C55</f>
        <v>0</v>
      </c>
      <c r="BQ55" s="22">
        <f>'Raw Data'!DU49/$C55</f>
        <v>0</v>
      </c>
      <c r="BR55" s="17">
        <f>'Raw Data'!DR49/$C55</f>
        <v>0</v>
      </c>
      <c r="BS55" s="17">
        <f>'Raw Data'!DJ49/$C55</f>
        <v>2.5</v>
      </c>
      <c r="BT55" s="17">
        <f>'Raw Data'!DN49/$C55</f>
        <v>0</v>
      </c>
      <c r="BU55" s="17">
        <f>'Raw Data'!DV49/$C55</f>
        <v>0.5</v>
      </c>
      <c r="BV55" s="12">
        <f>'Raw Data'!EM49</f>
        <v>2.2999999999999998</v>
      </c>
      <c r="BW55" s="13">
        <f>'Raw Data'!EN49</f>
        <v>2.5</v>
      </c>
      <c r="BX55" s="13">
        <f>'Raw Data'!CC49</f>
        <v>0</v>
      </c>
      <c r="BY55" s="13">
        <f>SUM(AR55:AS55)</f>
        <v>3.5</v>
      </c>
    </row>
    <row r="56" spans="1:77" x14ac:dyDescent="0.25">
      <c r="A56">
        <f>'Raw Data'!A15</f>
        <v>1700</v>
      </c>
      <c r="B56" t="str">
        <f>'Raw Data'!B15</f>
        <v xml:space="preserve"> Gatorbotics</v>
      </c>
      <c r="C56">
        <f>'Raw Data'!C15</f>
        <v>10</v>
      </c>
      <c r="E56" s="57">
        <f>IF(_xlfn.IFNA(MATCH(A56,'Center Switch 2'!A:A, 0),0)&gt;0,1,0)</f>
        <v>0</v>
      </c>
      <c r="F56" s="57">
        <f>_xlfn.IFNA(VLOOKUP(A56,'Center Switch 2'!A:G,2,0),0)</f>
        <v>0</v>
      </c>
      <c r="G56" s="57">
        <f>_xlfn.IFNA(VLOOKUP(A56,'Center Switch 2'!A:G,4,0),0)</f>
        <v>0</v>
      </c>
      <c r="H56" s="57">
        <f>_xlfn.IFNA(VLOOKUP(A56,'Center Switch 2'!A:G,5,0),0)</f>
        <v>0</v>
      </c>
      <c r="I56" s="57">
        <f>_xlfn.IFNA(VLOOKUP(A56,'Center Switch 2'!A:G,6,0),0)</f>
        <v>0</v>
      </c>
      <c r="J56" s="57">
        <f>_xlfn.IFNA(VLOOKUP(A56,'Center Switch 2'!A:G,7,0),0)</f>
        <v>0</v>
      </c>
      <c r="K56" s="59">
        <f>AP56</f>
        <v>0.4</v>
      </c>
      <c r="L56" s="59">
        <f>AQ56</f>
        <v>0.3</v>
      </c>
      <c r="M56" s="59">
        <f>AS56</f>
        <v>1.9</v>
      </c>
      <c r="N56" s="59">
        <f>2*O56</f>
        <v>0.8</v>
      </c>
      <c r="O56" s="59">
        <f>AO56</f>
        <v>0.4</v>
      </c>
      <c r="R56" s="59">
        <f>AL56</f>
        <v>3</v>
      </c>
      <c r="S56" s="61">
        <f>'Raw Data'!CT15</f>
        <v>13.048</v>
      </c>
      <c r="T56" s="61">
        <f>'Raw Data'!CR15</f>
        <v>4.5</v>
      </c>
      <c r="U56" s="61">
        <f>'Raw Data'!CW15</f>
        <v>6</v>
      </c>
      <c r="V56" s="61">
        <f>'Raw Data'!DA15</f>
        <v>20</v>
      </c>
      <c r="W56" s="61">
        <f>BV56</f>
        <v>2.1</v>
      </c>
      <c r="AD56" s="12">
        <f>'Raw Data'!D15</f>
        <v>3</v>
      </c>
      <c r="AE56" s="13">
        <f>'Raw Data'!E15</f>
        <v>0</v>
      </c>
      <c r="AF56" s="13">
        <f>'Raw Data'!F15</f>
        <v>7</v>
      </c>
      <c r="AG56" s="13">
        <f>'Raw Data'!G15</f>
        <v>10</v>
      </c>
      <c r="AH56" s="13">
        <f>'Raw Data'!O15</f>
        <v>1</v>
      </c>
      <c r="AI56" s="13">
        <f>'Raw Data'!T15</f>
        <v>1</v>
      </c>
      <c r="AJ56" s="13">
        <f>'Raw Data'!Y15</f>
        <v>0</v>
      </c>
      <c r="AK56" s="13">
        <f>'Raw Data'!AD15</f>
        <v>0</v>
      </c>
      <c r="AL56" s="22">
        <f>'Raw Data'!BV15</f>
        <v>3</v>
      </c>
      <c r="AM56" s="15">
        <f>'Raw Data'!BG15</f>
        <v>0.1</v>
      </c>
      <c r="AN56" s="15">
        <f>'Raw Data'!BL15</f>
        <v>0.3</v>
      </c>
      <c r="AO56" s="15">
        <f>AM56+AN56</f>
        <v>0.4</v>
      </c>
      <c r="AP56" s="15">
        <f>'Raw Data'!AW15</f>
        <v>0.4</v>
      </c>
      <c r="AQ56" s="15">
        <f>'Raw Data'!BB15</f>
        <v>0.3</v>
      </c>
      <c r="AR56" s="15">
        <f>AP56+AQ56</f>
        <v>0.7</v>
      </c>
      <c r="AS56" s="15">
        <f>'Raw Data'!BQ15</f>
        <v>1.9</v>
      </c>
      <c r="AT56" s="16">
        <f>'Raw Data'!BY15</f>
        <v>0.4</v>
      </c>
      <c r="AU56" s="26">
        <f>'Raw Data'!AI15</f>
        <v>3.7</v>
      </c>
      <c r="AV56" s="27">
        <f>SUM(AX56:AZ56)</f>
        <v>3.5</v>
      </c>
      <c r="AW56" s="27">
        <f>'Raw Data'!AN15</f>
        <v>0.2</v>
      </c>
      <c r="AX56" s="27">
        <f>'Raw Data'!AS15</f>
        <v>1.8</v>
      </c>
      <c r="AY56" s="27">
        <f>'Raw Data'!AU15</f>
        <v>0.2</v>
      </c>
      <c r="AZ56" s="27">
        <f>'Raw Data'!AL15</f>
        <v>1.5</v>
      </c>
      <c r="BA56" s="17">
        <f>'Raw Data'!CF15</f>
        <v>0</v>
      </c>
      <c r="BB56" s="18">
        <f>'Raw Data'!CJ15</f>
        <v>0</v>
      </c>
      <c r="BC56" s="18">
        <f>'Raw Data'!CM15</f>
        <v>0</v>
      </c>
      <c r="BD56" s="18">
        <f>'Raw Data'!CO15</f>
        <v>0</v>
      </c>
      <c r="BE56" s="19">
        <f>'Raw Data'!CP15</f>
        <v>2</v>
      </c>
      <c r="BF56" s="20">
        <f>'Raw Data'!DO15/$C56</f>
        <v>0</v>
      </c>
      <c r="BG56" s="20">
        <f>'Raw Data'!DG15/$C56</f>
        <v>0.1</v>
      </c>
      <c r="BH56" s="20">
        <f>'Raw Data'!DK15/$C56</f>
        <v>0</v>
      </c>
      <c r="BI56" s="20">
        <f>'Raw Data'!DS15/$C56</f>
        <v>0.1</v>
      </c>
      <c r="BJ56" s="12">
        <f>'Raw Data'!DP15/$C56</f>
        <v>0</v>
      </c>
      <c r="BK56" s="12">
        <f>'Raw Data'!DH15/$C56</f>
        <v>0.4</v>
      </c>
      <c r="BL56" s="12">
        <f>'Raw Data'!DL15/$C56</f>
        <v>0</v>
      </c>
      <c r="BM56" s="12">
        <f>'Raw Data'!DT15/$C56</f>
        <v>0.1</v>
      </c>
      <c r="BN56" s="22">
        <f>'Raw Data'!DQ15/$C56</f>
        <v>0.2</v>
      </c>
      <c r="BO56" s="22">
        <f>'Raw Data'!DI15/$C56</f>
        <v>0</v>
      </c>
      <c r="BP56" s="22">
        <f>'Raw Data'!DM15/$C56</f>
        <v>0.1</v>
      </c>
      <c r="BQ56" s="22">
        <f>'Raw Data'!DU15/$C56</f>
        <v>0</v>
      </c>
      <c r="BR56" s="17">
        <f>'Raw Data'!DR15/$C56</f>
        <v>0</v>
      </c>
      <c r="BS56" s="17">
        <f>'Raw Data'!DJ15/$C56</f>
        <v>1.4</v>
      </c>
      <c r="BT56" s="17">
        <f>'Raw Data'!DN15/$C56</f>
        <v>0</v>
      </c>
      <c r="BU56" s="17">
        <f>'Raw Data'!DV15/$C56</f>
        <v>0.2</v>
      </c>
      <c r="BV56" s="12">
        <f>'Raw Data'!EM15</f>
        <v>2.1</v>
      </c>
      <c r="BW56" s="13">
        <f>'Raw Data'!EN15</f>
        <v>2</v>
      </c>
      <c r="BX56" s="13">
        <f>'Raw Data'!CC15</f>
        <v>2</v>
      </c>
      <c r="BY56" s="13">
        <f>SUM(AR56:AS56)</f>
        <v>2.5999999999999996</v>
      </c>
    </row>
    <row r="57" spans="1:77" x14ac:dyDescent="0.25">
      <c r="A57">
        <f>'Raw Data'!A48</f>
        <v>5700</v>
      </c>
      <c r="B57" t="str">
        <f>'Raw Data'!B48</f>
        <v xml:space="preserve"> SOTA Cyberdragons</v>
      </c>
      <c r="C57">
        <f>'Raw Data'!C48</f>
        <v>10</v>
      </c>
      <c r="E57" s="57">
        <f>IF(_xlfn.IFNA(MATCH(A57,'Center Switch 2'!A:A, 0),0)&gt;0,1,0)</f>
        <v>0</v>
      </c>
      <c r="F57" s="57">
        <f>_xlfn.IFNA(VLOOKUP(A57,'Center Switch 2'!A:G,2,0),0)</f>
        <v>0</v>
      </c>
      <c r="G57" s="57">
        <f>_xlfn.IFNA(VLOOKUP(A57,'Center Switch 2'!A:G,4,0),0)</f>
        <v>0</v>
      </c>
      <c r="H57" s="57">
        <f>_xlfn.IFNA(VLOOKUP(A57,'Center Switch 2'!A:G,5,0),0)</f>
        <v>0</v>
      </c>
      <c r="I57" s="57">
        <f>_xlfn.IFNA(VLOOKUP(A57,'Center Switch 2'!A:G,6,0),0)</f>
        <v>0</v>
      </c>
      <c r="J57" s="57">
        <f>_xlfn.IFNA(VLOOKUP(A57,'Center Switch 2'!A:G,7,0),0)</f>
        <v>0</v>
      </c>
      <c r="K57" s="59">
        <f>AP57</f>
        <v>0.3</v>
      </c>
      <c r="L57" s="59">
        <f>AQ57</f>
        <v>0.8</v>
      </c>
      <c r="M57" s="59">
        <f>AS57</f>
        <v>0.7</v>
      </c>
      <c r="N57" s="59">
        <f>2*O57</f>
        <v>1.4</v>
      </c>
      <c r="O57" s="59">
        <f>AO57</f>
        <v>0.7</v>
      </c>
      <c r="R57" s="59">
        <f>AL57</f>
        <v>2.5</v>
      </c>
      <c r="S57" s="61">
        <f>'Raw Data'!CT48</f>
        <v>7.2</v>
      </c>
      <c r="T57" s="61">
        <f>'Raw Data'!CR48</f>
        <v>0</v>
      </c>
      <c r="U57" s="61">
        <f>'Raw Data'!CW48</f>
        <v>6.5</v>
      </c>
      <c r="V57" s="61">
        <f>'Raw Data'!DA48</f>
        <v>6.1669999999999998</v>
      </c>
      <c r="W57" s="61">
        <f>BV57</f>
        <v>2.4</v>
      </c>
      <c r="AD57" s="12">
        <f>'Raw Data'!D48</f>
        <v>6</v>
      </c>
      <c r="AE57" s="13">
        <f>'Raw Data'!E48</f>
        <v>2</v>
      </c>
      <c r="AF57" s="13">
        <f>'Raw Data'!F48</f>
        <v>0</v>
      </c>
      <c r="AG57" s="13">
        <f>'Raw Data'!G48</f>
        <v>4</v>
      </c>
      <c r="AH57" s="13">
        <f>'Raw Data'!O48</f>
        <v>1</v>
      </c>
      <c r="AI57" s="13">
        <f>'Raw Data'!T48</f>
        <v>1</v>
      </c>
      <c r="AJ57" s="13">
        <f>'Raw Data'!Y48</f>
        <v>0</v>
      </c>
      <c r="AK57" s="13">
        <f>'Raw Data'!AD48</f>
        <v>0</v>
      </c>
      <c r="AL57" s="22">
        <f>'Raw Data'!BV48</f>
        <v>2.5</v>
      </c>
      <c r="AM57" s="15">
        <f>'Raw Data'!BG48</f>
        <v>0.4</v>
      </c>
      <c r="AN57" s="15">
        <f>'Raw Data'!BL48</f>
        <v>0.3</v>
      </c>
      <c r="AO57" s="15">
        <f>AM57+AN57</f>
        <v>0.7</v>
      </c>
      <c r="AP57" s="15">
        <f>'Raw Data'!AW48</f>
        <v>0.3</v>
      </c>
      <c r="AQ57" s="15">
        <f>'Raw Data'!BB48</f>
        <v>0.8</v>
      </c>
      <c r="AR57" s="15">
        <f>AP57+AQ57</f>
        <v>1.1000000000000001</v>
      </c>
      <c r="AS57" s="15">
        <f>'Raw Data'!BQ48</f>
        <v>0.7</v>
      </c>
      <c r="AT57" s="16">
        <f>'Raw Data'!BY48</f>
        <v>0.6</v>
      </c>
      <c r="AU57" s="26">
        <f>'Raw Data'!AI48</f>
        <v>3.8</v>
      </c>
      <c r="AV57" s="27">
        <f>SUM(AX57:AZ57)</f>
        <v>2.8000000000000003</v>
      </c>
      <c r="AW57" s="27">
        <f>'Raw Data'!AN48</f>
        <v>1</v>
      </c>
      <c r="AX57" s="27">
        <f>'Raw Data'!AS48</f>
        <v>0.8</v>
      </c>
      <c r="AY57" s="27">
        <f>'Raw Data'!AU48</f>
        <v>1.1000000000000001</v>
      </c>
      <c r="AZ57" s="27">
        <f>'Raw Data'!AL48</f>
        <v>0.9</v>
      </c>
      <c r="BA57" s="17">
        <f>'Raw Data'!CF48</f>
        <v>100</v>
      </c>
      <c r="BB57" s="18">
        <f>'Raw Data'!CJ48</f>
        <v>0</v>
      </c>
      <c r="BC57" s="18">
        <f>'Raw Data'!CM48</f>
        <v>0</v>
      </c>
      <c r="BD57" s="18">
        <f>'Raw Data'!CO48</f>
        <v>0</v>
      </c>
      <c r="BE57" s="19">
        <f>'Raw Data'!CP48</f>
        <v>0</v>
      </c>
      <c r="BF57" s="20">
        <f>'Raw Data'!DO48/$C57</f>
        <v>0.1</v>
      </c>
      <c r="BG57" s="20">
        <f>'Raw Data'!DG48/$C57</f>
        <v>0</v>
      </c>
      <c r="BH57" s="20">
        <f>'Raw Data'!DK48/$C57</f>
        <v>0.6</v>
      </c>
      <c r="BI57" s="20">
        <f>'Raw Data'!DS48/$C57</f>
        <v>0</v>
      </c>
      <c r="BJ57" s="12">
        <f>'Raw Data'!DP48/$C57</f>
        <v>0</v>
      </c>
      <c r="BK57" s="12">
        <f>'Raw Data'!DH48/$C57</f>
        <v>0</v>
      </c>
      <c r="BL57" s="12">
        <f>'Raw Data'!DL48/$C57</f>
        <v>0.1</v>
      </c>
      <c r="BM57" s="12">
        <f>'Raw Data'!DT48/$C57</f>
        <v>0.2</v>
      </c>
      <c r="BN57" s="22">
        <f>'Raw Data'!DQ48/$C57</f>
        <v>0.4</v>
      </c>
      <c r="BO57" s="22">
        <f>'Raw Data'!DI48/$C57</f>
        <v>0</v>
      </c>
      <c r="BP57" s="22">
        <f>'Raw Data'!DM48/$C57</f>
        <v>0.2</v>
      </c>
      <c r="BQ57" s="22">
        <f>'Raw Data'!DU48/$C57</f>
        <v>0.2</v>
      </c>
      <c r="BR57" s="17">
        <f>'Raw Data'!DR48/$C57</f>
        <v>0</v>
      </c>
      <c r="BS57" s="17">
        <f>'Raw Data'!DJ48/$C57</f>
        <v>0.6</v>
      </c>
      <c r="BT57" s="17">
        <f>'Raw Data'!DN48/$C57</f>
        <v>0</v>
      </c>
      <c r="BU57" s="17">
        <f>'Raw Data'!DV48/$C57</f>
        <v>0</v>
      </c>
      <c r="BV57" s="12">
        <f>'Raw Data'!EM48</f>
        <v>2.4</v>
      </c>
      <c r="BW57" s="13">
        <f>'Raw Data'!EN48</f>
        <v>0</v>
      </c>
      <c r="BX57" s="13">
        <f>'Raw Data'!CC48</f>
        <v>22</v>
      </c>
      <c r="BY57" s="13">
        <f>SUM(AR57:AS57)</f>
        <v>1.8</v>
      </c>
    </row>
    <row r="58" spans="1:77" x14ac:dyDescent="0.25">
      <c r="A58">
        <f>'Raw Data'!A51</f>
        <v>5849</v>
      </c>
      <c r="B58" t="str">
        <f>'Raw Data'!B51</f>
        <v xml:space="preserve"> Joker</v>
      </c>
      <c r="C58">
        <f>'Raw Data'!C51</f>
        <v>10</v>
      </c>
      <c r="E58" s="57">
        <f>IF(_xlfn.IFNA(MATCH(A58,'Center Switch 2'!A:A, 0),0)&gt;0,1,0)</f>
        <v>0</v>
      </c>
      <c r="F58" s="57">
        <f>_xlfn.IFNA(VLOOKUP(A58,'Center Switch 2'!A:G,2,0),0)</f>
        <v>0</v>
      </c>
      <c r="G58" s="57">
        <f>_xlfn.IFNA(VLOOKUP(A58,'Center Switch 2'!A:G,4,0),0)</f>
        <v>0</v>
      </c>
      <c r="H58" s="57">
        <f>_xlfn.IFNA(VLOOKUP(A58,'Center Switch 2'!A:G,5,0),0)</f>
        <v>0</v>
      </c>
      <c r="I58" s="57">
        <f>_xlfn.IFNA(VLOOKUP(A58,'Center Switch 2'!A:G,6,0),0)</f>
        <v>0</v>
      </c>
      <c r="J58" s="57">
        <f>_xlfn.IFNA(VLOOKUP(A58,'Center Switch 2'!A:G,7,0),0)</f>
        <v>0</v>
      </c>
      <c r="K58" s="59">
        <f>AP58</f>
        <v>0</v>
      </c>
      <c r="L58" s="59">
        <f>AQ58</f>
        <v>0</v>
      </c>
      <c r="M58" s="59">
        <f>AS58</f>
        <v>2.1</v>
      </c>
      <c r="N58" s="59">
        <f>2*O58</f>
        <v>0</v>
      </c>
      <c r="O58" s="59">
        <f>AO58</f>
        <v>0</v>
      </c>
      <c r="R58" s="59">
        <f>AL58</f>
        <v>2.1</v>
      </c>
      <c r="S58" s="61">
        <f>'Raw Data'!CT51</f>
        <v>9.1069999999999993</v>
      </c>
      <c r="T58" s="61">
        <f>'Raw Data'!CR51</f>
        <v>0</v>
      </c>
      <c r="U58" s="61">
        <f>'Raw Data'!CW51</f>
        <v>0</v>
      </c>
      <c r="V58" s="61">
        <f>'Raw Data'!DA51</f>
        <v>0</v>
      </c>
      <c r="W58" s="61">
        <f>BV58</f>
        <v>1.7</v>
      </c>
      <c r="AD58" s="12">
        <f>'Raw Data'!D51</f>
        <v>3</v>
      </c>
      <c r="AE58" s="13">
        <f>'Raw Data'!E51</f>
        <v>2</v>
      </c>
      <c r="AF58" s="13">
        <f>'Raw Data'!F51</f>
        <v>4</v>
      </c>
      <c r="AG58" s="13">
        <f>'Raw Data'!G51</f>
        <v>8</v>
      </c>
      <c r="AH58" s="13">
        <f>'Raw Data'!O51</f>
        <v>0</v>
      </c>
      <c r="AI58" s="13">
        <f>'Raw Data'!T51</f>
        <v>0</v>
      </c>
      <c r="AJ58" s="13">
        <f>'Raw Data'!Y51</f>
        <v>0</v>
      </c>
      <c r="AK58" s="13">
        <f>'Raw Data'!AD51</f>
        <v>0</v>
      </c>
      <c r="AL58" s="22">
        <f>'Raw Data'!BV51</f>
        <v>2.1</v>
      </c>
      <c r="AM58" s="15">
        <f>'Raw Data'!BG51</f>
        <v>0</v>
      </c>
      <c r="AN58" s="15">
        <f>'Raw Data'!BL51</f>
        <v>0</v>
      </c>
      <c r="AO58" s="15">
        <f>AM58+AN58</f>
        <v>0</v>
      </c>
      <c r="AP58" s="15">
        <f>'Raw Data'!AW51</f>
        <v>0</v>
      </c>
      <c r="AQ58" s="15">
        <f>'Raw Data'!BB51</f>
        <v>0</v>
      </c>
      <c r="AR58" s="15">
        <f>AP58+AQ58</f>
        <v>0</v>
      </c>
      <c r="AS58" s="15">
        <f>'Raw Data'!BQ51</f>
        <v>2.1</v>
      </c>
      <c r="AT58" s="16">
        <f>'Raw Data'!BY51</f>
        <v>0.4</v>
      </c>
      <c r="AU58" s="26">
        <f>'Raw Data'!AI51</f>
        <v>2.1</v>
      </c>
      <c r="AV58" s="27">
        <f>SUM(AX58:AZ58)</f>
        <v>2.1</v>
      </c>
      <c r="AW58" s="27">
        <f>'Raw Data'!AN51</f>
        <v>0</v>
      </c>
      <c r="AX58" s="27">
        <f>'Raw Data'!AS51</f>
        <v>1.6</v>
      </c>
      <c r="AY58" s="27">
        <f>'Raw Data'!AU51</f>
        <v>0</v>
      </c>
      <c r="AZ58" s="27">
        <f>'Raw Data'!AL51</f>
        <v>0.5</v>
      </c>
      <c r="BA58" s="17">
        <f>'Raw Data'!CF51</f>
        <v>100</v>
      </c>
      <c r="BB58" s="18">
        <f>'Raw Data'!CJ51</f>
        <v>1</v>
      </c>
      <c r="BC58" s="18">
        <f>'Raw Data'!CM51</f>
        <v>0</v>
      </c>
      <c r="BD58" s="18">
        <f>'Raw Data'!CO51</f>
        <v>0</v>
      </c>
      <c r="BE58" s="19">
        <f>'Raw Data'!CP51</f>
        <v>3</v>
      </c>
      <c r="BF58" s="20">
        <f>'Raw Data'!DO51/$C58</f>
        <v>0</v>
      </c>
      <c r="BG58" s="20">
        <f>'Raw Data'!DG51/$C58</f>
        <v>0</v>
      </c>
      <c r="BH58" s="20">
        <f>'Raw Data'!DK51/$C58</f>
        <v>0</v>
      </c>
      <c r="BI58" s="20">
        <f>'Raw Data'!DS51/$C58</f>
        <v>0</v>
      </c>
      <c r="BJ58" s="12">
        <f>'Raw Data'!DP51/$C58</f>
        <v>0</v>
      </c>
      <c r="BK58" s="12">
        <f>'Raw Data'!DH51/$C58</f>
        <v>0</v>
      </c>
      <c r="BL58" s="12">
        <f>'Raw Data'!DL51/$C58</f>
        <v>0</v>
      </c>
      <c r="BM58" s="12">
        <f>'Raw Data'!DT51/$C58</f>
        <v>0</v>
      </c>
      <c r="BN58" s="22">
        <f>'Raw Data'!DQ51/$C58</f>
        <v>0</v>
      </c>
      <c r="BO58" s="22">
        <f>'Raw Data'!DI51/$C58</f>
        <v>0</v>
      </c>
      <c r="BP58" s="22">
        <f>'Raw Data'!DM51/$C58</f>
        <v>0</v>
      </c>
      <c r="BQ58" s="22">
        <f>'Raw Data'!DU51/$C58</f>
        <v>0</v>
      </c>
      <c r="BR58" s="17">
        <f>'Raw Data'!DR51/$C58</f>
        <v>0</v>
      </c>
      <c r="BS58" s="17">
        <f>'Raw Data'!DJ51/$C58</f>
        <v>2.2000000000000002</v>
      </c>
      <c r="BT58" s="17">
        <f>'Raw Data'!DN51/$C58</f>
        <v>0</v>
      </c>
      <c r="BU58" s="17">
        <f>'Raw Data'!DV51/$C58</f>
        <v>0</v>
      </c>
      <c r="BV58" s="12">
        <f>'Raw Data'!EM51</f>
        <v>1.7</v>
      </c>
      <c r="BW58" s="13">
        <f>'Raw Data'!EN51</f>
        <v>1</v>
      </c>
      <c r="BX58" s="13">
        <f>'Raw Data'!CC51</f>
        <v>0</v>
      </c>
      <c r="BY58" s="13">
        <f>SUM(AR58:AS58)</f>
        <v>2.1</v>
      </c>
    </row>
    <row r="59" spans="1:77" x14ac:dyDescent="0.25">
      <c r="A59">
        <f>'Raw Data'!A61</f>
        <v>6871</v>
      </c>
      <c r="B59" t="str">
        <f>'Raw Data'!B61</f>
        <v xml:space="preserve"> QC DogSquad</v>
      </c>
      <c r="C59">
        <f>'Raw Data'!C61</f>
        <v>10</v>
      </c>
      <c r="E59" s="57">
        <f>IF(_xlfn.IFNA(MATCH(A59,'Center Switch 2'!A:A, 0),0)&gt;0,1,0)</f>
        <v>0</v>
      </c>
      <c r="F59" s="57">
        <f>_xlfn.IFNA(VLOOKUP(A59,'Center Switch 2'!A:G,2,0),0)</f>
        <v>0</v>
      </c>
      <c r="G59" s="57">
        <f>_xlfn.IFNA(VLOOKUP(A59,'Center Switch 2'!A:G,4,0),0)</f>
        <v>0</v>
      </c>
      <c r="H59" s="57">
        <f>_xlfn.IFNA(VLOOKUP(A59,'Center Switch 2'!A:G,5,0),0)</f>
        <v>0</v>
      </c>
      <c r="I59" s="57">
        <f>_xlfn.IFNA(VLOOKUP(A59,'Center Switch 2'!A:G,6,0),0)</f>
        <v>0</v>
      </c>
      <c r="J59" s="57">
        <f>_xlfn.IFNA(VLOOKUP(A59,'Center Switch 2'!A:G,7,0),0)</f>
        <v>0</v>
      </c>
      <c r="K59" s="59">
        <f>AP59</f>
        <v>0.7</v>
      </c>
      <c r="L59" s="59">
        <f>AQ59</f>
        <v>0.4</v>
      </c>
      <c r="M59" s="59">
        <f>AS59</f>
        <v>0.8</v>
      </c>
      <c r="N59" s="59">
        <f>2*O59</f>
        <v>0</v>
      </c>
      <c r="O59" s="59">
        <f>AO59</f>
        <v>0</v>
      </c>
      <c r="R59" s="59">
        <f>AL59</f>
        <v>1.9</v>
      </c>
      <c r="S59" s="61">
        <f>'Raw Data'!CT61</f>
        <v>6.25</v>
      </c>
      <c r="T59" s="61">
        <f>'Raw Data'!CR61</f>
        <v>18.777999999999999</v>
      </c>
      <c r="U59" s="61">
        <f>'Raw Data'!CW61</f>
        <v>10</v>
      </c>
      <c r="V59" s="61">
        <f>'Raw Data'!DA61</f>
        <v>37.5</v>
      </c>
      <c r="W59" s="61">
        <f>BV59</f>
        <v>1.8</v>
      </c>
      <c r="AD59" s="12">
        <f>'Raw Data'!D61</f>
        <v>3</v>
      </c>
      <c r="AE59" s="13">
        <f>'Raw Data'!E61</f>
        <v>0</v>
      </c>
      <c r="AF59" s="13">
        <f>'Raw Data'!F61</f>
        <v>7</v>
      </c>
      <c r="AG59" s="13">
        <f>'Raw Data'!G61</f>
        <v>9</v>
      </c>
      <c r="AH59" s="13">
        <f>'Raw Data'!O61</f>
        <v>0</v>
      </c>
      <c r="AI59" s="13">
        <f>'Raw Data'!T61</f>
        <v>0</v>
      </c>
      <c r="AJ59" s="13">
        <f>'Raw Data'!Y61</f>
        <v>0</v>
      </c>
      <c r="AK59" s="13">
        <f>'Raw Data'!AD61</f>
        <v>0</v>
      </c>
      <c r="AL59" s="22">
        <f>'Raw Data'!BV61</f>
        <v>1.9</v>
      </c>
      <c r="AM59" s="15">
        <f>'Raw Data'!BG61</f>
        <v>0</v>
      </c>
      <c r="AN59" s="15">
        <f>'Raw Data'!BL61</f>
        <v>0</v>
      </c>
      <c r="AO59" s="15">
        <f>AM59+AN59</f>
        <v>0</v>
      </c>
      <c r="AP59" s="15">
        <f>'Raw Data'!AW61</f>
        <v>0.7</v>
      </c>
      <c r="AQ59" s="15">
        <f>'Raw Data'!BB61</f>
        <v>0.4</v>
      </c>
      <c r="AR59" s="15">
        <f>AP59+AQ59</f>
        <v>1.1000000000000001</v>
      </c>
      <c r="AS59" s="15">
        <f>'Raw Data'!BQ61</f>
        <v>0.8</v>
      </c>
      <c r="AT59" s="16">
        <f>'Raw Data'!BY61</f>
        <v>0.4</v>
      </c>
      <c r="AU59" s="26">
        <f>'Raw Data'!AI61</f>
        <v>1.6</v>
      </c>
      <c r="AV59" s="27">
        <f>SUM(AX59:AZ59)</f>
        <v>1.2000000000000002</v>
      </c>
      <c r="AW59" s="27">
        <f>'Raw Data'!AN61</f>
        <v>0.4</v>
      </c>
      <c r="AX59" s="27">
        <f>'Raw Data'!AS61</f>
        <v>0.8</v>
      </c>
      <c r="AY59" s="27">
        <f>'Raw Data'!AU61</f>
        <v>0.3</v>
      </c>
      <c r="AZ59" s="27">
        <f>'Raw Data'!AL61</f>
        <v>0.1</v>
      </c>
      <c r="BA59" s="17">
        <f>'Raw Data'!CF61</f>
        <v>0</v>
      </c>
      <c r="BB59" s="18">
        <f>'Raw Data'!CJ61</f>
        <v>0</v>
      </c>
      <c r="BC59" s="18">
        <f>'Raw Data'!CM61</f>
        <v>0</v>
      </c>
      <c r="BD59" s="18">
        <f>'Raw Data'!CO61</f>
        <v>0</v>
      </c>
      <c r="BE59" s="19">
        <f>'Raw Data'!CP61</f>
        <v>2</v>
      </c>
      <c r="BF59" s="20">
        <f>'Raw Data'!DO61/$C59</f>
        <v>0</v>
      </c>
      <c r="BG59" s="20">
        <f>'Raw Data'!DG61/$C59</f>
        <v>0</v>
      </c>
      <c r="BH59" s="20">
        <f>'Raw Data'!DK61/$C59</f>
        <v>0</v>
      </c>
      <c r="BI59" s="20">
        <f>'Raw Data'!DS61/$C59</f>
        <v>0</v>
      </c>
      <c r="BJ59" s="12">
        <f>'Raw Data'!DP61/$C59</f>
        <v>0</v>
      </c>
      <c r="BK59" s="12">
        <f>'Raw Data'!DH61/$C59</f>
        <v>0.5</v>
      </c>
      <c r="BL59" s="12">
        <f>'Raw Data'!DL61/$C59</f>
        <v>0.1</v>
      </c>
      <c r="BM59" s="12">
        <f>'Raw Data'!DT61/$C59</f>
        <v>0</v>
      </c>
      <c r="BN59" s="22">
        <f>'Raw Data'!DQ61/$C59</f>
        <v>0.2</v>
      </c>
      <c r="BO59" s="22">
        <f>'Raw Data'!DI61/$C59</f>
        <v>0</v>
      </c>
      <c r="BP59" s="22">
        <f>'Raw Data'!DM61/$C59</f>
        <v>0.2</v>
      </c>
      <c r="BQ59" s="22">
        <f>'Raw Data'!DU61/$C59</f>
        <v>0</v>
      </c>
      <c r="BR59" s="17">
        <f>'Raw Data'!DR61/$C59</f>
        <v>0</v>
      </c>
      <c r="BS59" s="17">
        <f>'Raw Data'!DJ61/$C59</f>
        <v>0.5</v>
      </c>
      <c r="BT59" s="17">
        <f>'Raw Data'!DN61/$C59</f>
        <v>0</v>
      </c>
      <c r="BU59" s="17">
        <f>'Raw Data'!DV61/$C59</f>
        <v>0</v>
      </c>
      <c r="BV59" s="12">
        <f>'Raw Data'!EM61</f>
        <v>1.8</v>
      </c>
      <c r="BW59" s="13">
        <f>'Raw Data'!EN61</f>
        <v>1</v>
      </c>
      <c r="BX59" s="13">
        <f>'Raw Data'!CC61</f>
        <v>0</v>
      </c>
      <c r="BY59" s="13">
        <f>SUM(AR59:AS59)</f>
        <v>1.9000000000000001</v>
      </c>
    </row>
    <row r="60" spans="1:77" x14ac:dyDescent="0.25">
      <c r="A60">
        <f>'Raw Data'!A59</f>
        <v>6814</v>
      </c>
      <c r="B60" t="str">
        <f>'Raw Data'!B59</f>
        <v xml:space="preserve"> Ellipse </v>
      </c>
      <c r="C60">
        <f>'Raw Data'!C59</f>
        <v>10</v>
      </c>
      <c r="E60" s="57">
        <f>IF(_xlfn.IFNA(MATCH(A60,'Center Switch 2'!A:A, 0),0)&gt;0,1,0)</f>
        <v>0</v>
      </c>
      <c r="F60" s="57">
        <f>_xlfn.IFNA(VLOOKUP(A60,'Center Switch 2'!A:G,2,0),0)</f>
        <v>0</v>
      </c>
      <c r="G60" s="57">
        <f>_xlfn.IFNA(VLOOKUP(A60,'Center Switch 2'!A:G,4,0),0)</f>
        <v>0</v>
      </c>
      <c r="H60" s="57">
        <f>_xlfn.IFNA(VLOOKUP(A60,'Center Switch 2'!A:G,5,0),0)</f>
        <v>0</v>
      </c>
      <c r="I60" s="57">
        <f>_xlfn.IFNA(VLOOKUP(A60,'Center Switch 2'!A:G,6,0),0)</f>
        <v>0</v>
      </c>
      <c r="J60" s="57">
        <f>_xlfn.IFNA(VLOOKUP(A60,'Center Switch 2'!A:G,7,0),0)</f>
        <v>0</v>
      </c>
      <c r="K60" s="59">
        <f>AP60</f>
        <v>0.4</v>
      </c>
      <c r="L60" s="59">
        <f>AQ60</f>
        <v>0.1</v>
      </c>
      <c r="M60" s="59">
        <f>AS60</f>
        <v>1.1000000000000001</v>
      </c>
      <c r="N60" s="59">
        <f>2*O60</f>
        <v>0</v>
      </c>
      <c r="O60" s="59">
        <f>AO60</f>
        <v>0</v>
      </c>
      <c r="R60" s="59">
        <f>AL60</f>
        <v>1.6</v>
      </c>
      <c r="S60" s="61">
        <f>'Raw Data'!CT59</f>
        <v>10.861000000000001</v>
      </c>
      <c r="T60" s="61">
        <f>'Raw Data'!CR59</f>
        <v>9</v>
      </c>
      <c r="U60" s="61">
        <f>'Raw Data'!CW59</f>
        <v>0</v>
      </c>
      <c r="V60" s="61">
        <f>'Raw Data'!DA59</f>
        <v>6</v>
      </c>
      <c r="W60" s="61">
        <f>BV60</f>
        <v>1.7</v>
      </c>
      <c r="AD60" s="12">
        <f>'Raw Data'!D59</f>
        <v>4</v>
      </c>
      <c r="AE60" s="13">
        <f>'Raw Data'!E59</f>
        <v>1</v>
      </c>
      <c r="AF60" s="13">
        <f>'Raw Data'!F59</f>
        <v>5</v>
      </c>
      <c r="AG60" s="13">
        <f>'Raw Data'!G59</f>
        <v>9</v>
      </c>
      <c r="AH60" s="13">
        <f>'Raw Data'!O59</f>
        <v>0</v>
      </c>
      <c r="AI60" s="13">
        <f>'Raw Data'!T59</f>
        <v>0</v>
      </c>
      <c r="AJ60" s="13">
        <f>'Raw Data'!Y59</f>
        <v>0</v>
      </c>
      <c r="AK60" s="13">
        <f>'Raw Data'!AD59</f>
        <v>0</v>
      </c>
      <c r="AL60" s="22">
        <f>'Raw Data'!BV59</f>
        <v>1.6</v>
      </c>
      <c r="AM60" s="15">
        <f>'Raw Data'!BG59</f>
        <v>0</v>
      </c>
      <c r="AN60" s="15">
        <f>'Raw Data'!BL59</f>
        <v>0</v>
      </c>
      <c r="AO60" s="15">
        <f>AM60+AN60</f>
        <v>0</v>
      </c>
      <c r="AP60" s="15">
        <f>'Raw Data'!AW59</f>
        <v>0.4</v>
      </c>
      <c r="AQ60" s="15">
        <f>'Raw Data'!BB59</f>
        <v>0.1</v>
      </c>
      <c r="AR60" s="15">
        <f>AP60+AQ60</f>
        <v>0.5</v>
      </c>
      <c r="AS60" s="15">
        <f>'Raw Data'!BQ59</f>
        <v>1.1000000000000001</v>
      </c>
      <c r="AT60" s="16">
        <f>'Raw Data'!BY59</f>
        <v>1.3</v>
      </c>
      <c r="AU60" s="26">
        <f>'Raw Data'!AI59</f>
        <v>2.8</v>
      </c>
      <c r="AV60" s="27">
        <f>SUM(AX60:AZ60)</f>
        <v>2.8</v>
      </c>
      <c r="AW60" s="27">
        <f>'Raw Data'!AN59</f>
        <v>0</v>
      </c>
      <c r="AX60" s="27">
        <f>'Raw Data'!AS59</f>
        <v>1.8</v>
      </c>
      <c r="AY60" s="27">
        <f>'Raw Data'!AU59</f>
        <v>0</v>
      </c>
      <c r="AZ60" s="27">
        <f>'Raw Data'!AL59</f>
        <v>1</v>
      </c>
      <c r="BA60" s="17">
        <f>'Raw Data'!CF59</f>
        <v>0</v>
      </c>
      <c r="BB60" s="18">
        <f>'Raw Data'!CJ59</f>
        <v>0</v>
      </c>
      <c r="BC60" s="18">
        <f>'Raw Data'!CM59</f>
        <v>0</v>
      </c>
      <c r="BD60" s="18">
        <f>'Raw Data'!CO59</f>
        <v>0</v>
      </c>
      <c r="BE60" s="19">
        <f>'Raw Data'!CP59</f>
        <v>4</v>
      </c>
      <c r="BF60" s="20">
        <f>'Raw Data'!DO59/$C60</f>
        <v>0</v>
      </c>
      <c r="BG60" s="20">
        <f>'Raw Data'!DG59/$C60</f>
        <v>0</v>
      </c>
      <c r="BH60" s="20">
        <f>'Raw Data'!DK59/$C60</f>
        <v>0.4</v>
      </c>
      <c r="BI60" s="20">
        <f>'Raw Data'!DS59/$C60</f>
        <v>0.1</v>
      </c>
      <c r="BJ60" s="12">
        <f>'Raw Data'!DP59/$C60</f>
        <v>0</v>
      </c>
      <c r="BK60" s="12">
        <f>'Raw Data'!DH59/$C60</f>
        <v>0.3</v>
      </c>
      <c r="BL60" s="12">
        <f>'Raw Data'!DL59/$C60</f>
        <v>0</v>
      </c>
      <c r="BM60" s="12">
        <f>'Raw Data'!DT59/$C60</f>
        <v>0</v>
      </c>
      <c r="BN60" s="22">
        <f>'Raw Data'!DQ59/$C60</f>
        <v>0.1</v>
      </c>
      <c r="BO60" s="22">
        <f>'Raw Data'!DI59/$C60</f>
        <v>0</v>
      </c>
      <c r="BP60" s="22">
        <f>'Raw Data'!DM59/$C60</f>
        <v>0</v>
      </c>
      <c r="BQ60" s="22">
        <f>'Raw Data'!DU59/$C60</f>
        <v>0</v>
      </c>
      <c r="BR60" s="17">
        <f>'Raw Data'!DR59/$C60</f>
        <v>0</v>
      </c>
      <c r="BS60" s="17">
        <f>'Raw Data'!DJ59/$C60</f>
        <v>1</v>
      </c>
      <c r="BT60" s="17">
        <f>'Raw Data'!DN59/$C60</f>
        <v>0</v>
      </c>
      <c r="BU60" s="17">
        <f>'Raw Data'!DV59/$C60</f>
        <v>0.4</v>
      </c>
      <c r="BV60" s="12">
        <f>'Raw Data'!EM59</f>
        <v>1.7</v>
      </c>
      <c r="BW60" s="13">
        <f>'Raw Data'!EN59</f>
        <v>2</v>
      </c>
      <c r="BX60" s="13">
        <f>'Raw Data'!CC59</f>
        <v>0</v>
      </c>
      <c r="BY60" s="13">
        <f>SUM(AR60:AS60)</f>
        <v>1.6</v>
      </c>
    </row>
    <row r="61" spans="1:77" x14ac:dyDescent="0.25">
      <c r="A61">
        <f>'Raw Data'!A23</f>
        <v>2980</v>
      </c>
      <c r="B61" t="str">
        <f>'Raw Data'!B23</f>
        <v xml:space="preserve"> The Whidbey Island Wild Cats</v>
      </c>
      <c r="C61">
        <f>'Raw Data'!C23</f>
        <v>10</v>
      </c>
      <c r="E61" s="57">
        <f>IF(_xlfn.IFNA(MATCH(A61,'Center Switch 2'!A:A, 0),0)&gt;0,1,0)</f>
        <v>0</v>
      </c>
      <c r="F61" s="57">
        <f>_xlfn.IFNA(VLOOKUP(A61,'Center Switch 2'!A:G,2,0),0)</f>
        <v>0</v>
      </c>
      <c r="G61" s="57">
        <f>_xlfn.IFNA(VLOOKUP(A61,'Center Switch 2'!A:G,4,0),0)</f>
        <v>0</v>
      </c>
      <c r="H61" s="57">
        <f>_xlfn.IFNA(VLOOKUP(A61,'Center Switch 2'!A:G,5,0),0)</f>
        <v>0</v>
      </c>
      <c r="I61" s="57">
        <f>_xlfn.IFNA(VLOOKUP(A61,'Center Switch 2'!A:G,6,0),0)</f>
        <v>0</v>
      </c>
      <c r="J61" s="57">
        <f>_xlfn.IFNA(VLOOKUP(A61,'Center Switch 2'!A:G,7,0),0)</f>
        <v>0</v>
      </c>
      <c r="K61" s="59">
        <f>AP61</f>
        <v>0.6</v>
      </c>
      <c r="L61" s="59">
        <f>AQ61</f>
        <v>0.1</v>
      </c>
      <c r="M61" s="59">
        <f>AS61</f>
        <v>0.6</v>
      </c>
      <c r="N61" s="59">
        <f>2*O61</f>
        <v>0.4</v>
      </c>
      <c r="O61" s="59">
        <f>AO61</f>
        <v>0.2</v>
      </c>
      <c r="R61" s="59">
        <f>AL61</f>
        <v>1.5</v>
      </c>
      <c r="S61" s="61">
        <f>'Raw Data'!CT23</f>
        <v>9.8330000000000002</v>
      </c>
      <c r="T61" s="61">
        <f>'Raw Data'!CR23</f>
        <v>0</v>
      </c>
      <c r="U61" s="61">
        <f>'Raw Data'!CW23</f>
        <v>0</v>
      </c>
      <c r="V61" s="61">
        <f>'Raw Data'!DA23</f>
        <v>7</v>
      </c>
      <c r="W61" s="61">
        <f>BV61</f>
        <v>2.7</v>
      </c>
      <c r="AD61" s="12">
        <f>'Raw Data'!D23</f>
        <v>3</v>
      </c>
      <c r="AE61" s="13">
        <f>'Raw Data'!E23</f>
        <v>3</v>
      </c>
      <c r="AF61" s="13">
        <f>'Raw Data'!F23</f>
        <v>4</v>
      </c>
      <c r="AG61" s="13">
        <f>'Raw Data'!G23</f>
        <v>9</v>
      </c>
      <c r="AH61" s="13">
        <f>'Raw Data'!O23</f>
        <v>1</v>
      </c>
      <c r="AI61" s="13">
        <f>'Raw Data'!T23</f>
        <v>0</v>
      </c>
      <c r="AJ61" s="13">
        <f>'Raw Data'!Y23</f>
        <v>0</v>
      </c>
      <c r="AK61" s="13">
        <f>'Raw Data'!AD23</f>
        <v>0</v>
      </c>
      <c r="AL61" s="22">
        <f>'Raw Data'!BV23</f>
        <v>1.5</v>
      </c>
      <c r="AM61" s="15">
        <f>'Raw Data'!BG23</f>
        <v>0</v>
      </c>
      <c r="AN61" s="15">
        <f>'Raw Data'!BL23</f>
        <v>0.2</v>
      </c>
      <c r="AO61" s="15">
        <f>AM61+AN61</f>
        <v>0.2</v>
      </c>
      <c r="AP61" s="15">
        <f>'Raw Data'!AW23</f>
        <v>0.6</v>
      </c>
      <c r="AQ61" s="15">
        <f>'Raw Data'!BB23</f>
        <v>0.1</v>
      </c>
      <c r="AR61" s="15">
        <f>AP61+AQ61</f>
        <v>0.7</v>
      </c>
      <c r="AS61" s="15">
        <f>'Raw Data'!BQ23</f>
        <v>0.6</v>
      </c>
      <c r="AT61" s="16">
        <f>'Raw Data'!BY23</f>
        <v>0.1</v>
      </c>
      <c r="AU61" s="26">
        <f>'Raw Data'!AI23</f>
        <v>1.2</v>
      </c>
      <c r="AV61" s="27">
        <f>SUM(AX61:AZ61)</f>
        <v>1</v>
      </c>
      <c r="AW61" s="27">
        <f>'Raw Data'!AN23</f>
        <v>0.2</v>
      </c>
      <c r="AX61" s="27">
        <f>'Raw Data'!AS23</f>
        <v>0.4</v>
      </c>
      <c r="AY61" s="27">
        <f>'Raw Data'!AU23</f>
        <v>0.2</v>
      </c>
      <c r="AZ61" s="27">
        <f>'Raw Data'!AL23</f>
        <v>0.4</v>
      </c>
      <c r="BA61" s="17">
        <f>'Raw Data'!CF23</f>
        <v>0</v>
      </c>
      <c r="BB61" s="18">
        <f>'Raw Data'!CJ23</f>
        <v>0</v>
      </c>
      <c r="BC61" s="18">
        <f>'Raw Data'!CM23</f>
        <v>0</v>
      </c>
      <c r="BD61" s="18">
        <f>'Raw Data'!CO23</f>
        <v>0</v>
      </c>
      <c r="BE61" s="19">
        <f>'Raw Data'!CP23</f>
        <v>3</v>
      </c>
      <c r="BF61" s="20">
        <f>'Raw Data'!DO23/$C61</f>
        <v>0</v>
      </c>
      <c r="BG61" s="20">
        <f>'Raw Data'!DG23/$C61</f>
        <v>0</v>
      </c>
      <c r="BH61" s="20">
        <f>'Raw Data'!DK23/$C61</f>
        <v>0.2</v>
      </c>
      <c r="BI61" s="20">
        <f>'Raw Data'!DS23/$C61</f>
        <v>0</v>
      </c>
      <c r="BJ61" s="12">
        <f>'Raw Data'!DP23/$C61</f>
        <v>0</v>
      </c>
      <c r="BK61" s="12">
        <f>'Raw Data'!DH23/$C61</f>
        <v>0</v>
      </c>
      <c r="BL61" s="12">
        <f>'Raw Data'!DL23/$C61</f>
        <v>0</v>
      </c>
      <c r="BM61" s="12">
        <f>'Raw Data'!DT23/$C61</f>
        <v>0.2</v>
      </c>
      <c r="BN61" s="22">
        <f>'Raw Data'!DQ23/$C61</f>
        <v>0.1</v>
      </c>
      <c r="BO61" s="22">
        <f>'Raw Data'!DI23/$C61</f>
        <v>0</v>
      </c>
      <c r="BP61" s="22">
        <f>'Raw Data'!DM23/$C61</f>
        <v>0</v>
      </c>
      <c r="BQ61" s="22">
        <f>'Raw Data'!DU23/$C61</f>
        <v>0</v>
      </c>
      <c r="BR61" s="17">
        <f>'Raw Data'!DR23/$C61</f>
        <v>0.1</v>
      </c>
      <c r="BS61" s="17">
        <f>'Raw Data'!DJ23/$C61</f>
        <v>0.4</v>
      </c>
      <c r="BT61" s="17">
        <f>'Raw Data'!DN23/$C61</f>
        <v>0</v>
      </c>
      <c r="BU61" s="17">
        <f>'Raw Data'!DV23/$C61</f>
        <v>0.2</v>
      </c>
      <c r="BV61" s="12">
        <f>'Raw Data'!EM23</f>
        <v>2.7</v>
      </c>
      <c r="BW61" s="13">
        <f>'Raw Data'!EN23</f>
        <v>3</v>
      </c>
      <c r="BX61" s="13">
        <f>'Raw Data'!CC23</f>
        <v>1</v>
      </c>
      <c r="BY61" s="13">
        <f>SUM(AR61:AS61)</f>
        <v>1.2999999999999998</v>
      </c>
    </row>
    <row r="62" spans="1:77" x14ac:dyDescent="0.25">
      <c r="A62">
        <f>'Raw Data'!A60</f>
        <v>6844</v>
      </c>
      <c r="B62" t="str">
        <f>'Raw Data'!B60</f>
        <v xml:space="preserve"> Provotypes</v>
      </c>
      <c r="C62">
        <f>'Raw Data'!C60</f>
        <v>10</v>
      </c>
      <c r="E62" s="57">
        <f>IF(_xlfn.IFNA(MATCH(A62,'Center Switch 2'!A:A, 0),0)&gt;0,1,0)</f>
        <v>0</v>
      </c>
      <c r="F62" s="57">
        <f>_xlfn.IFNA(VLOOKUP(A62,'Center Switch 2'!A:G,2,0),0)</f>
        <v>0</v>
      </c>
      <c r="G62" s="57">
        <f>_xlfn.IFNA(VLOOKUP(A62,'Center Switch 2'!A:G,4,0),0)</f>
        <v>0</v>
      </c>
      <c r="H62" s="57">
        <f>_xlfn.IFNA(VLOOKUP(A62,'Center Switch 2'!A:G,5,0),0)</f>
        <v>0</v>
      </c>
      <c r="I62" s="57">
        <f>_xlfn.IFNA(VLOOKUP(A62,'Center Switch 2'!A:G,6,0),0)</f>
        <v>0</v>
      </c>
      <c r="J62" s="57">
        <f>_xlfn.IFNA(VLOOKUP(A62,'Center Switch 2'!A:G,7,0),0)</f>
        <v>0</v>
      </c>
      <c r="K62" s="59">
        <f>AP62</f>
        <v>0.3</v>
      </c>
      <c r="L62" s="59">
        <f>AQ62</f>
        <v>1.1000000000000001</v>
      </c>
      <c r="M62" s="59">
        <f>AS62</f>
        <v>0</v>
      </c>
      <c r="N62" s="59">
        <f>2*O62</f>
        <v>0</v>
      </c>
      <c r="O62" s="59">
        <f>AO62</f>
        <v>0</v>
      </c>
      <c r="R62" s="59">
        <f>AL62</f>
        <v>1.4</v>
      </c>
      <c r="S62" s="61">
        <f>'Raw Data'!CT60</f>
        <v>0</v>
      </c>
      <c r="T62" s="61">
        <f>'Raw Data'!CR60</f>
        <v>0</v>
      </c>
      <c r="U62" s="61">
        <f>'Raw Data'!CW60</f>
        <v>0</v>
      </c>
      <c r="V62" s="61">
        <f>'Raw Data'!DA60</f>
        <v>11.106999999999999</v>
      </c>
      <c r="W62" s="61">
        <f>BV62</f>
        <v>1.8</v>
      </c>
      <c r="AD62" s="12">
        <f>'Raw Data'!D60</f>
        <v>4</v>
      </c>
      <c r="AE62" s="13">
        <f>'Raw Data'!E60</f>
        <v>1</v>
      </c>
      <c r="AF62" s="13">
        <f>'Raw Data'!F60</f>
        <v>5</v>
      </c>
      <c r="AG62" s="13">
        <f>'Raw Data'!G60</f>
        <v>9</v>
      </c>
      <c r="AH62" s="13">
        <f>'Raw Data'!O60</f>
        <v>1</v>
      </c>
      <c r="AI62" s="13">
        <f>'Raw Data'!T60</f>
        <v>0</v>
      </c>
      <c r="AJ62" s="13">
        <f>'Raw Data'!Y60</f>
        <v>0</v>
      </c>
      <c r="AK62" s="13">
        <f>'Raw Data'!AD60</f>
        <v>0</v>
      </c>
      <c r="AL62" s="22">
        <f>'Raw Data'!BV60</f>
        <v>1.4</v>
      </c>
      <c r="AM62" s="15">
        <f>'Raw Data'!BG60</f>
        <v>0</v>
      </c>
      <c r="AN62" s="15">
        <f>'Raw Data'!BL60</f>
        <v>0</v>
      </c>
      <c r="AO62" s="15">
        <f>AM62+AN62</f>
        <v>0</v>
      </c>
      <c r="AP62" s="15">
        <f>'Raw Data'!AW60</f>
        <v>0.3</v>
      </c>
      <c r="AQ62" s="15">
        <f>'Raw Data'!BB60</f>
        <v>1.1000000000000001</v>
      </c>
      <c r="AR62" s="15">
        <f>AP62+AQ62</f>
        <v>1.4000000000000001</v>
      </c>
      <c r="AS62" s="15">
        <f>'Raw Data'!BQ60</f>
        <v>0</v>
      </c>
      <c r="AT62" s="16">
        <f>'Raw Data'!BY60</f>
        <v>0.1</v>
      </c>
      <c r="AU62" s="26">
        <f>'Raw Data'!AI60</f>
        <v>1.8</v>
      </c>
      <c r="AV62" s="27">
        <f>SUM(AX62:AZ62)</f>
        <v>0</v>
      </c>
      <c r="AW62" s="27">
        <f>'Raw Data'!AN60</f>
        <v>1.8</v>
      </c>
      <c r="AX62" s="27">
        <f>'Raw Data'!AS60</f>
        <v>0</v>
      </c>
      <c r="AY62" s="27">
        <f>'Raw Data'!AU60</f>
        <v>0</v>
      </c>
      <c r="AZ62" s="27">
        <f>'Raw Data'!AL60</f>
        <v>0</v>
      </c>
      <c r="BA62" s="17">
        <f>'Raw Data'!CF60</f>
        <v>0</v>
      </c>
      <c r="BB62" s="18">
        <f>'Raw Data'!CJ60</f>
        <v>0</v>
      </c>
      <c r="BC62" s="18">
        <f>'Raw Data'!CM60</f>
        <v>0</v>
      </c>
      <c r="BD62" s="18">
        <f>'Raw Data'!CO60</f>
        <v>0</v>
      </c>
      <c r="BE62" s="19">
        <f>'Raw Data'!CP60</f>
        <v>5</v>
      </c>
      <c r="BF62" s="20">
        <f>'Raw Data'!DO60/$C62</f>
        <v>0</v>
      </c>
      <c r="BG62" s="20">
        <f>'Raw Data'!DG60/$C62</f>
        <v>0</v>
      </c>
      <c r="BH62" s="20">
        <f>'Raw Data'!DK60/$C62</f>
        <v>0</v>
      </c>
      <c r="BI62" s="20">
        <f>'Raw Data'!DS60/$C62</f>
        <v>0</v>
      </c>
      <c r="BJ62" s="12">
        <f>'Raw Data'!DP60/$C62</f>
        <v>0.1</v>
      </c>
      <c r="BK62" s="12">
        <f>'Raw Data'!DH60/$C62</f>
        <v>0</v>
      </c>
      <c r="BL62" s="12">
        <f>'Raw Data'!DL60/$C62</f>
        <v>0</v>
      </c>
      <c r="BM62" s="12">
        <f>'Raw Data'!DT60/$C62</f>
        <v>0</v>
      </c>
      <c r="BN62" s="22">
        <f>'Raw Data'!DQ60/$C62</f>
        <v>1.1000000000000001</v>
      </c>
      <c r="BO62" s="22">
        <f>'Raw Data'!DI60/$C62</f>
        <v>0</v>
      </c>
      <c r="BP62" s="22">
        <f>'Raw Data'!DM60/$C62</f>
        <v>0</v>
      </c>
      <c r="BQ62" s="22">
        <f>'Raw Data'!DU60/$C62</f>
        <v>0</v>
      </c>
      <c r="BR62" s="17">
        <f>'Raw Data'!DR60/$C62</f>
        <v>0</v>
      </c>
      <c r="BS62" s="17">
        <f>'Raw Data'!DJ60/$C62</f>
        <v>0</v>
      </c>
      <c r="BT62" s="17">
        <f>'Raw Data'!DN60/$C62</f>
        <v>0</v>
      </c>
      <c r="BU62" s="17">
        <f>'Raw Data'!DV60/$C62</f>
        <v>0</v>
      </c>
      <c r="BV62" s="12">
        <f>'Raw Data'!EM60</f>
        <v>1.8</v>
      </c>
      <c r="BW62" s="13">
        <f>'Raw Data'!EN60</f>
        <v>1.75</v>
      </c>
      <c r="BX62" s="13">
        <f>'Raw Data'!CC60</f>
        <v>0</v>
      </c>
      <c r="BY62" s="13">
        <f>SUM(AR62:AS62)</f>
        <v>1.4000000000000001</v>
      </c>
    </row>
    <row r="63" spans="1:77" x14ac:dyDescent="0.25">
      <c r="AE63" s="13"/>
      <c r="AF63" s="13"/>
      <c r="AG63" s="13"/>
      <c r="AH63" s="13"/>
      <c r="AI63" s="13"/>
      <c r="AJ63" s="13"/>
      <c r="AK63" s="13"/>
      <c r="AM63" s="15"/>
      <c r="AN63" s="15"/>
      <c r="AO63" s="15"/>
      <c r="AP63" s="15"/>
      <c r="AQ63" s="15"/>
      <c r="AR63" s="15"/>
      <c r="AS63" s="15"/>
      <c r="AT63" s="16"/>
      <c r="AU63" s="26"/>
      <c r="AV63" s="27"/>
      <c r="AW63" s="27"/>
      <c r="AX63" s="27"/>
      <c r="AY63" s="27"/>
      <c r="AZ63" s="27"/>
      <c r="BA63" s="17"/>
      <c r="BB63" s="18"/>
      <c r="BC63" s="18"/>
      <c r="BD63" s="18"/>
      <c r="BE63" s="19"/>
      <c r="BF63" s="20"/>
      <c r="BG63" s="21"/>
      <c r="BH63" s="21"/>
      <c r="BI63" s="21"/>
      <c r="BK63" s="13"/>
      <c r="BL63" s="13"/>
      <c r="BM63" s="13"/>
      <c r="BO63" s="15"/>
      <c r="BP63" s="15"/>
      <c r="BQ63" s="15"/>
      <c r="BS63" s="18"/>
      <c r="BT63" s="18"/>
      <c r="BU63" s="18"/>
      <c r="BV63" s="12"/>
      <c r="BW63" s="13"/>
      <c r="BX63" s="13"/>
      <c r="BY63" s="13"/>
    </row>
    <row r="64" spans="1:77" x14ac:dyDescent="0.25">
      <c r="AE64" s="13"/>
      <c r="AF64" s="13"/>
      <c r="AG64" s="13"/>
      <c r="AH64" s="13"/>
      <c r="AI64" s="13"/>
      <c r="AJ64" s="13"/>
      <c r="AK64" s="13"/>
      <c r="AM64" s="15"/>
      <c r="AN64" s="15"/>
      <c r="AO64" s="15"/>
      <c r="AP64" s="15"/>
      <c r="AQ64" s="15"/>
      <c r="AR64" s="15"/>
      <c r="AS64" s="15"/>
      <c r="AT64" s="16"/>
      <c r="AU64" s="26"/>
      <c r="AV64" s="27"/>
      <c r="AW64" s="27"/>
      <c r="AX64" s="27"/>
      <c r="AY64" s="27"/>
      <c r="AZ64" s="27"/>
      <c r="BA64" s="17"/>
      <c r="BB64" s="18"/>
      <c r="BC64" s="18"/>
      <c r="BD64" s="18"/>
      <c r="BE64" s="19"/>
      <c r="BF64" s="20"/>
      <c r="BG64" s="21"/>
      <c r="BH64" s="21"/>
      <c r="BI64" s="21"/>
      <c r="BK64" s="13"/>
      <c r="BL64" s="13"/>
      <c r="BM64" s="13"/>
      <c r="BO64" s="15"/>
      <c r="BP64" s="15"/>
      <c r="BQ64" s="15"/>
      <c r="BS64" s="18"/>
      <c r="BT64" s="18"/>
      <c r="BU64" s="18"/>
      <c r="BV64" s="12"/>
      <c r="BW64" s="13"/>
      <c r="BX64" s="13"/>
      <c r="BY64" s="13"/>
    </row>
    <row r="65" spans="31:77" x14ac:dyDescent="0.25">
      <c r="AE65" s="13"/>
      <c r="AF65" s="13"/>
      <c r="AG65" s="13"/>
      <c r="AH65" s="13"/>
      <c r="AI65" s="13"/>
      <c r="AJ65" s="13"/>
      <c r="AK65" s="13"/>
      <c r="AM65" s="15"/>
      <c r="AN65" s="15"/>
      <c r="AO65" s="15"/>
      <c r="AP65" s="15"/>
      <c r="AQ65" s="15"/>
      <c r="AR65" s="15"/>
      <c r="AS65" s="15"/>
      <c r="AT65" s="16"/>
      <c r="AU65" s="26"/>
      <c r="AV65" s="27"/>
      <c r="AW65" s="27"/>
      <c r="AX65" s="27"/>
      <c r="AY65" s="27"/>
      <c r="AZ65" s="27"/>
      <c r="BA65" s="17"/>
      <c r="BB65" s="18"/>
      <c r="BC65" s="18"/>
      <c r="BD65" s="18"/>
      <c r="BE65" s="19"/>
      <c r="BF65" s="20"/>
      <c r="BG65" s="21"/>
      <c r="BH65" s="21"/>
      <c r="BI65" s="21"/>
      <c r="BK65" s="13"/>
      <c r="BL65" s="13"/>
      <c r="BM65" s="13"/>
      <c r="BO65" s="15"/>
      <c r="BP65" s="15"/>
      <c r="BQ65" s="15"/>
      <c r="BS65" s="18"/>
      <c r="BT65" s="18"/>
      <c r="BU65" s="18"/>
      <c r="BV65" s="12"/>
      <c r="BW65" s="13"/>
      <c r="BX65" s="13"/>
      <c r="BY65" s="13"/>
    </row>
    <row r="66" spans="31:77" x14ac:dyDescent="0.25">
      <c r="AE66" s="13"/>
      <c r="AF66" s="13"/>
      <c r="AG66" s="13"/>
      <c r="AH66" s="13"/>
      <c r="AI66" s="13"/>
      <c r="AJ66" s="13"/>
      <c r="AK66" s="13"/>
      <c r="AM66" s="15"/>
      <c r="AN66" s="15"/>
      <c r="AO66" s="15"/>
      <c r="AP66" s="15"/>
      <c r="AQ66" s="15"/>
      <c r="AR66" s="15"/>
      <c r="AS66" s="15"/>
      <c r="AT66" s="16"/>
      <c r="AU66" s="26"/>
      <c r="AV66" s="27"/>
      <c r="AW66" s="27"/>
      <c r="AX66" s="27"/>
      <c r="AY66" s="27"/>
      <c r="AZ66" s="27"/>
      <c r="BA66" s="17"/>
      <c r="BB66" s="18"/>
      <c r="BC66" s="18"/>
      <c r="BD66" s="18"/>
      <c r="BE66" s="19"/>
      <c r="BF66" s="20"/>
      <c r="BG66" s="21"/>
      <c r="BH66" s="21"/>
      <c r="BI66" s="21"/>
      <c r="BK66" s="13"/>
      <c r="BL66" s="13"/>
      <c r="BM66" s="13"/>
      <c r="BO66" s="15"/>
      <c r="BP66" s="15"/>
      <c r="BQ66" s="15"/>
      <c r="BS66" s="18"/>
      <c r="BT66" s="18"/>
      <c r="BU66" s="18"/>
      <c r="BV66" s="12"/>
      <c r="BW66" s="13"/>
      <c r="BX66" s="13"/>
      <c r="BY66" s="13"/>
    </row>
    <row r="67" spans="31:77" x14ac:dyDescent="0.25">
      <c r="AE67" s="13"/>
      <c r="AF67" s="13"/>
      <c r="AG67" s="13"/>
      <c r="AH67" s="13"/>
      <c r="AI67" s="13"/>
      <c r="AJ67" s="13"/>
      <c r="AK67" s="13"/>
      <c r="AM67" s="15"/>
      <c r="AN67" s="15"/>
      <c r="AO67" s="15"/>
      <c r="AP67" s="15"/>
      <c r="AQ67" s="15"/>
      <c r="AR67" s="15"/>
      <c r="AS67" s="15"/>
      <c r="AT67" s="16"/>
      <c r="AU67" s="26"/>
      <c r="AV67" s="27"/>
      <c r="AW67" s="27"/>
      <c r="AX67" s="27"/>
      <c r="AY67" s="27"/>
      <c r="AZ67" s="27"/>
      <c r="BA67" s="17"/>
      <c r="BB67" s="18"/>
      <c r="BC67" s="18"/>
      <c r="BD67" s="18"/>
      <c r="BE67" s="19"/>
      <c r="BF67" s="20"/>
      <c r="BG67" s="21"/>
      <c r="BH67" s="21"/>
      <c r="BI67" s="21"/>
      <c r="BK67" s="13"/>
      <c r="BL67" s="13"/>
      <c r="BM67" s="13"/>
      <c r="BO67" s="15"/>
      <c r="BP67" s="15"/>
      <c r="BQ67" s="15"/>
      <c r="BS67" s="18"/>
      <c r="BT67" s="18"/>
      <c r="BU67" s="18"/>
      <c r="BV67" s="12"/>
      <c r="BW67" s="13"/>
      <c r="BX67" s="13"/>
      <c r="BY67" s="13"/>
    </row>
    <row r="68" spans="31:77" x14ac:dyDescent="0.25">
      <c r="AE68" s="13"/>
      <c r="AF68" s="13"/>
      <c r="AG68" s="13"/>
      <c r="AH68" s="13"/>
      <c r="AI68" s="13"/>
      <c r="AJ68" s="13"/>
      <c r="AK68" s="13"/>
      <c r="AM68" s="15"/>
      <c r="AN68" s="15"/>
      <c r="AO68" s="15"/>
      <c r="AP68" s="15"/>
      <c r="AQ68" s="15"/>
      <c r="AR68" s="15"/>
      <c r="AS68" s="15"/>
      <c r="AT68" s="16"/>
      <c r="AU68" s="26"/>
      <c r="AV68" s="27"/>
      <c r="AW68" s="27"/>
      <c r="AX68" s="27"/>
      <c r="AY68" s="27"/>
      <c r="AZ68" s="27"/>
      <c r="BA68" s="17"/>
      <c r="BB68" s="18"/>
      <c r="BC68" s="18"/>
      <c r="BD68" s="18"/>
      <c r="BE68" s="19"/>
      <c r="BF68" s="20"/>
      <c r="BG68" s="21"/>
      <c r="BH68" s="21"/>
      <c r="BI68" s="21"/>
      <c r="BK68" s="13"/>
      <c r="BL68" s="13"/>
      <c r="BM68" s="13"/>
      <c r="BO68" s="15"/>
      <c r="BP68" s="15"/>
      <c r="BQ68" s="15"/>
      <c r="BS68" s="18"/>
      <c r="BT68" s="18"/>
      <c r="BU68" s="18"/>
      <c r="BV68" s="12"/>
      <c r="BW68" s="13"/>
      <c r="BX68" s="13"/>
      <c r="BY68" s="13"/>
    </row>
    <row r="69" spans="31:77" x14ac:dyDescent="0.25">
      <c r="AE69" s="13"/>
      <c r="AF69" s="13"/>
      <c r="AG69" s="13"/>
      <c r="AH69" s="13"/>
      <c r="AI69" s="13"/>
      <c r="AJ69" s="13"/>
      <c r="AK69" s="13"/>
      <c r="AM69" s="15"/>
      <c r="AN69" s="15"/>
      <c r="AO69" s="15"/>
      <c r="AP69" s="15"/>
      <c r="AQ69" s="15"/>
      <c r="AR69" s="15"/>
      <c r="AS69" s="15"/>
      <c r="AT69" s="16"/>
      <c r="AU69" s="26"/>
      <c r="AV69" s="27"/>
      <c r="AW69" s="27"/>
      <c r="AX69" s="27"/>
      <c r="AY69" s="27"/>
      <c r="AZ69" s="27"/>
      <c r="BA69" s="17"/>
      <c r="BB69" s="18"/>
      <c r="BC69" s="18"/>
      <c r="BD69" s="18"/>
      <c r="BE69" s="19"/>
      <c r="BF69" s="20"/>
      <c r="BG69" s="21"/>
      <c r="BH69" s="21"/>
      <c r="BI69" s="21"/>
      <c r="BK69" s="13"/>
      <c r="BL69" s="13"/>
      <c r="BM69" s="13"/>
      <c r="BO69" s="15"/>
      <c r="BP69" s="15"/>
      <c r="BQ69" s="15"/>
      <c r="BS69" s="18"/>
      <c r="BT69" s="18"/>
      <c r="BU69" s="18"/>
      <c r="BV69" s="12"/>
      <c r="BW69" s="13"/>
      <c r="BX69" s="13"/>
      <c r="BY69" s="13"/>
    </row>
  </sheetData>
  <autoFilter ref="A2:BZ62" xr:uid="{00000000-0009-0000-0000-000001000000}">
    <sortState ref="A3:BZ62">
      <sortCondition ref="Z2:Z62"/>
    </sortState>
  </autoFilter>
  <pageMargins left="0.7" right="0.7" top="0.75" bottom="0.75" header="0.3" footer="0.3"/>
  <ignoredErrors>
    <ignoredError sqref="BB2:BC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F24A-4ED3-4395-9B18-E13A1DBB10BF}">
  <sheetPr filterMode="1"/>
  <dimension ref="A1:N181"/>
  <sheetViews>
    <sheetView workbookViewId="0">
      <pane ySplit="131" topLeftCell="A156" activePane="bottomLeft" state="frozen"/>
      <selection pane="bottomLeft" activeCell="G132" sqref="G132:L177"/>
    </sheetView>
  </sheetViews>
  <sheetFormatPr defaultRowHeight="15" x14ac:dyDescent="0.25"/>
  <cols>
    <col min="6" max="6" width="9.140625" style="40"/>
    <col min="8" max="8" width="10.5703125" customWidth="1"/>
    <col min="9" max="9" width="14.42578125" customWidth="1"/>
    <col min="10" max="10" width="14" customWidth="1"/>
    <col min="11" max="11" width="14.42578125" style="39" customWidth="1"/>
    <col min="12" max="12" width="14" style="39" customWidth="1"/>
  </cols>
  <sheetData>
    <row r="1" spans="1:12" ht="17.25" customHeight="1" thickBot="1" x14ac:dyDescent="0.3">
      <c r="A1" s="33" t="s">
        <v>279</v>
      </c>
      <c r="B1" s="33" t="s">
        <v>280</v>
      </c>
      <c r="C1" s="33" t="s">
        <v>281</v>
      </c>
      <c r="D1" s="33" t="s">
        <v>282</v>
      </c>
      <c r="E1" s="33" t="s">
        <v>283</v>
      </c>
      <c r="G1" s="36" t="s">
        <v>280</v>
      </c>
      <c r="H1" s="36" t="s">
        <v>284</v>
      </c>
      <c r="I1" s="36" t="s">
        <v>289</v>
      </c>
      <c r="J1" s="36" t="s">
        <v>290</v>
      </c>
      <c r="K1" s="36" t="s">
        <v>291</v>
      </c>
      <c r="L1" s="36" t="s">
        <v>292</v>
      </c>
    </row>
    <row r="2" spans="1:12" ht="15.75" hidden="1" thickBot="1" x14ac:dyDescent="0.3">
      <c r="A2" s="35">
        <v>1</v>
      </c>
      <c r="B2" s="35">
        <v>2403</v>
      </c>
      <c r="C2" s="35" t="s">
        <v>278</v>
      </c>
      <c r="D2" s="35">
        <v>2</v>
      </c>
      <c r="E2" s="35">
        <v>0</v>
      </c>
      <c r="G2" s="34"/>
      <c r="I2">
        <f t="shared" ref="I2:I33" si="0">SUMIF(B:B,G2,D:D)</f>
        <v>0</v>
      </c>
      <c r="J2" t="e">
        <f t="shared" ref="J2:J33" si="1">I2/H2</f>
        <v>#DIV/0!</v>
      </c>
      <c r="K2" s="39">
        <f t="shared" ref="K2:K33" si="2">SUMIF(B:B,G2,E:E)</f>
        <v>0</v>
      </c>
      <c r="L2" s="39" t="e">
        <f t="shared" ref="L2:L33" si="3">K2/H2</f>
        <v>#DIV/0!</v>
      </c>
    </row>
    <row r="3" spans="1:12" ht="15.75" hidden="1" thickBot="1" x14ac:dyDescent="0.3">
      <c r="A3" s="34">
        <v>58</v>
      </c>
      <c r="B3" s="34">
        <v>3128</v>
      </c>
      <c r="C3" s="34" t="s">
        <v>278</v>
      </c>
      <c r="D3" s="34">
        <v>2</v>
      </c>
      <c r="E3" s="34">
        <v>0</v>
      </c>
      <c r="G3" s="34"/>
      <c r="H3" s="39"/>
      <c r="I3" s="39">
        <f t="shared" si="0"/>
        <v>0</v>
      </c>
      <c r="J3" s="39" t="e">
        <f t="shared" si="1"/>
        <v>#DIV/0!</v>
      </c>
      <c r="K3" s="39">
        <f t="shared" si="2"/>
        <v>0</v>
      </c>
      <c r="L3" s="39" t="e">
        <f t="shared" si="3"/>
        <v>#DIV/0!</v>
      </c>
    </row>
    <row r="4" spans="1:12" ht="15.75" hidden="1" thickBot="1" x14ac:dyDescent="0.3">
      <c r="A4" s="35">
        <v>103</v>
      </c>
      <c r="B4" s="35">
        <v>2403</v>
      </c>
      <c r="C4" s="35" t="s">
        <v>278</v>
      </c>
      <c r="D4" s="35">
        <v>2</v>
      </c>
      <c r="E4" s="35">
        <v>0</v>
      </c>
      <c r="G4" s="35"/>
      <c r="H4" s="39"/>
      <c r="I4" s="39">
        <f t="shared" si="0"/>
        <v>0</v>
      </c>
      <c r="J4" s="39" t="e">
        <f t="shared" si="1"/>
        <v>#DIV/0!</v>
      </c>
      <c r="K4" s="39">
        <f t="shared" si="2"/>
        <v>0</v>
      </c>
      <c r="L4" s="39" t="e">
        <f t="shared" si="3"/>
        <v>#DIV/0!</v>
      </c>
    </row>
    <row r="5" spans="1:12" ht="15.75" hidden="1" thickBot="1" x14ac:dyDescent="0.3">
      <c r="A5" s="34">
        <v>58</v>
      </c>
      <c r="B5" s="34">
        <v>1619</v>
      </c>
      <c r="C5" s="34" t="s">
        <v>278</v>
      </c>
      <c r="D5" s="34">
        <v>2</v>
      </c>
      <c r="E5" s="34">
        <v>0</v>
      </c>
      <c r="G5" s="34"/>
      <c r="H5" s="39"/>
      <c r="I5" s="39">
        <f t="shared" si="0"/>
        <v>0</v>
      </c>
      <c r="J5" s="39" t="e">
        <f t="shared" si="1"/>
        <v>#DIV/0!</v>
      </c>
      <c r="K5" s="39">
        <f t="shared" si="2"/>
        <v>0</v>
      </c>
      <c r="L5" s="39" t="e">
        <f t="shared" si="3"/>
        <v>#DIV/0!</v>
      </c>
    </row>
    <row r="6" spans="1:12" ht="15.75" hidden="1" thickBot="1" x14ac:dyDescent="0.3">
      <c r="A6" s="35">
        <v>13</v>
      </c>
      <c r="B6" s="35">
        <v>2403</v>
      </c>
      <c r="C6" s="35" t="s">
        <v>278</v>
      </c>
      <c r="D6" s="35">
        <v>2</v>
      </c>
      <c r="E6" s="35">
        <v>0</v>
      </c>
      <c r="G6" s="34"/>
      <c r="H6" s="39"/>
      <c r="I6" s="39">
        <f t="shared" si="0"/>
        <v>0</v>
      </c>
      <c r="J6" s="39" t="e">
        <f t="shared" si="1"/>
        <v>#DIV/0!</v>
      </c>
      <c r="K6" s="39">
        <f t="shared" si="2"/>
        <v>0</v>
      </c>
      <c r="L6" s="39" t="e">
        <f t="shared" si="3"/>
        <v>#DIV/0!</v>
      </c>
    </row>
    <row r="7" spans="1:12" ht="15.75" hidden="1" thickBot="1" x14ac:dyDescent="0.3">
      <c r="A7" s="34">
        <v>19</v>
      </c>
      <c r="B7" s="34">
        <v>687</v>
      </c>
      <c r="C7" s="34" t="s">
        <v>278</v>
      </c>
      <c r="D7" s="34">
        <v>2</v>
      </c>
      <c r="E7" s="34">
        <v>0</v>
      </c>
      <c r="G7" s="35"/>
      <c r="H7" s="39"/>
      <c r="I7" s="39">
        <f t="shared" si="0"/>
        <v>0</v>
      </c>
      <c r="J7" s="39" t="e">
        <f t="shared" si="1"/>
        <v>#DIV/0!</v>
      </c>
      <c r="K7" s="39">
        <f t="shared" si="2"/>
        <v>0</v>
      </c>
      <c r="L7" s="39" t="e">
        <f t="shared" si="3"/>
        <v>#DIV/0!</v>
      </c>
    </row>
    <row r="8" spans="1:12" ht="15.75" hidden="1" thickBot="1" x14ac:dyDescent="0.3">
      <c r="A8" s="35">
        <v>14</v>
      </c>
      <c r="B8" s="35">
        <v>1678</v>
      </c>
      <c r="C8" s="35" t="s">
        <v>278</v>
      </c>
      <c r="D8" s="35">
        <v>2</v>
      </c>
      <c r="E8" s="35">
        <v>0</v>
      </c>
      <c r="G8" s="35"/>
      <c r="H8" s="39"/>
      <c r="I8" s="39">
        <f t="shared" si="0"/>
        <v>0</v>
      </c>
      <c r="J8" s="39" t="e">
        <f t="shared" si="1"/>
        <v>#DIV/0!</v>
      </c>
      <c r="K8" s="39">
        <f t="shared" si="2"/>
        <v>0</v>
      </c>
      <c r="L8" s="39" t="e">
        <f t="shared" si="3"/>
        <v>#DIV/0!</v>
      </c>
    </row>
    <row r="9" spans="1:12" ht="15.75" hidden="1" thickBot="1" x14ac:dyDescent="0.3">
      <c r="A9" s="34">
        <v>57</v>
      </c>
      <c r="B9" s="34">
        <v>687</v>
      </c>
      <c r="C9" s="34" t="s">
        <v>278</v>
      </c>
      <c r="D9" s="34">
        <v>2</v>
      </c>
      <c r="E9" s="34">
        <v>0</v>
      </c>
      <c r="G9" s="34"/>
      <c r="H9" s="39"/>
      <c r="I9" s="39">
        <f t="shared" si="0"/>
        <v>0</v>
      </c>
      <c r="J9" s="39" t="e">
        <f t="shared" si="1"/>
        <v>#DIV/0!</v>
      </c>
      <c r="K9" s="39">
        <f t="shared" si="2"/>
        <v>0</v>
      </c>
      <c r="L9" s="39" t="e">
        <f t="shared" si="3"/>
        <v>#DIV/0!</v>
      </c>
    </row>
    <row r="10" spans="1:12" ht="15.75" hidden="1" thickBot="1" x14ac:dyDescent="0.3">
      <c r="A10" s="35">
        <v>35</v>
      </c>
      <c r="B10" s="35">
        <v>2403</v>
      </c>
      <c r="C10" s="35" t="s">
        <v>278</v>
      </c>
      <c r="D10" s="35">
        <v>2</v>
      </c>
      <c r="E10" s="35">
        <v>0</v>
      </c>
      <c r="G10" s="34"/>
      <c r="H10" s="39"/>
      <c r="I10" s="39">
        <f t="shared" si="0"/>
        <v>0</v>
      </c>
      <c r="J10" s="39" t="e">
        <f t="shared" si="1"/>
        <v>#DIV/0!</v>
      </c>
      <c r="K10" s="39">
        <f t="shared" si="2"/>
        <v>0</v>
      </c>
      <c r="L10" s="39" t="e">
        <f t="shared" si="3"/>
        <v>#DIV/0!</v>
      </c>
    </row>
    <row r="11" spans="1:12" ht="15.75" hidden="1" thickBot="1" x14ac:dyDescent="0.3">
      <c r="A11" s="34">
        <v>98</v>
      </c>
      <c r="B11" s="34">
        <v>1011</v>
      </c>
      <c r="C11" s="34" t="s">
        <v>278</v>
      </c>
      <c r="D11" s="34">
        <v>2</v>
      </c>
      <c r="E11" s="34">
        <v>0</v>
      </c>
      <c r="G11" s="35"/>
      <c r="H11" s="39"/>
      <c r="I11" s="39">
        <f t="shared" si="0"/>
        <v>0</v>
      </c>
      <c r="J11" s="39" t="e">
        <f t="shared" si="1"/>
        <v>#DIV/0!</v>
      </c>
      <c r="K11" s="39">
        <f t="shared" si="2"/>
        <v>0</v>
      </c>
      <c r="L11" s="39" t="e">
        <f t="shared" si="3"/>
        <v>#DIV/0!</v>
      </c>
    </row>
    <row r="12" spans="1:12" ht="15.75" hidden="1" thickBot="1" x14ac:dyDescent="0.3">
      <c r="A12" s="35">
        <v>54</v>
      </c>
      <c r="B12" s="35">
        <v>1011</v>
      </c>
      <c r="C12" s="35" t="s">
        <v>278</v>
      </c>
      <c r="D12" s="35">
        <v>2</v>
      </c>
      <c r="E12" s="35">
        <v>0</v>
      </c>
      <c r="G12" s="34"/>
      <c r="H12" s="39"/>
      <c r="I12" s="39">
        <f t="shared" si="0"/>
        <v>0</v>
      </c>
      <c r="J12" s="39" t="e">
        <f t="shared" si="1"/>
        <v>#DIV/0!</v>
      </c>
      <c r="K12" s="39">
        <f t="shared" si="2"/>
        <v>0</v>
      </c>
      <c r="L12" s="39" t="e">
        <f t="shared" si="3"/>
        <v>#DIV/0!</v>
      </c>
    </row>
    <row r="13" spans="1:12" ht="15.75" hidden="1" thickBot="1" x14ac:dyDescent="0.3">
      <c r="A13" s="34">
        <v>21</v>
      </c>
      <c r="B13" s="34">
        <v>3128</v>
      </c>
      <c r="C13" s="34" t="s">
        <v>278</v>
      </c>
      <c r="D13" s="34">
        <v>2</v>
      </c>
      <c r="E13" s="34">
        <v>0</v>
      </c>
      <c r="G13" s="35"/>
      <c r="H13" s="39"/>
      <c r="I13" s="39">
        <f t="shared" si="0"/>
        <v>0</v>
      </c>
      <c r="J13" s="39" t="e">
        <f t="shared" si="1"/>
        <v>#DIV/0!</v>
      </c>
      <c r="K13" s="39">
        <f t="shared" si="2"/>
        <v>0</v>
      </c>
      <c r="L13" s="39" t="e">
        <f t="shared" si="3"/>
        <v>#DIV/0!</v>
      </c>
    </row>
    <row r="14" spans="1:12" ht="15.75" hidden="1" thickBot="1" x14ac:dyDescent="0.3">
      <c r="A14" s="35">
        <v>36</v>
      </c>
      <c r="B14" s="35">
        <v>687</v>
      </c>
      <c r="C14" s="35" t="s">
        <v>278</v>
      </c>
      <c r="D14" s="35">
        <v>2</v>
      </c>
      <c r="E14" s="35">
        <v>0</v>
      </c>
      <c r="G14" s="35"/>
      <c r="H14" s="39"/>
      <c r="I14" s="39">
        <f t="shared" si="0"/>
        <v>0</v>
      </c>
      <c r="J14" s="39" t="e">
        <f t="shared" si="1"/>
        <v>#DIV/0!</v>
      </c>
      <c r="K14" s="39">
        <f t="shared" si="2"/>
        <v>0</v>
      </c>
      <c r="L14" s="39" t="e">
        <f t="shared" si="3"/>
        <v>#DIV/0!</v>
      </c>
    </row>
    <row r="15" spans="1:12" ht="15.75" hidden="1" thickBot="1" x14ac:dyDescent="0.3">
      <c r="A15" s="34">
        <v>25</v>
      </c>
      <c r="B15" s="34">
        <v>2403</v>
      </c>
      <c r="C15" s="34" t="s">
        <v>278</v>
      </c>
      <c r="D15" s="34">
        <v>2</v>
      </c>
      <c r="E15" s="34">
        <v>0</v>
      </c>
      <c r="G15" s="35"/>
      <c r="H15" s="39"/>
      <c r="I15" s="39">
        <f t="shared" si="0"/>
        <v>0</v>
      </c>
      <c r="J15" s="39" t="e">
        <f t="shared" si="1"/>
        <v>#DIV/0!</v>
      </c>
      <c r="K15" s="39">
        <f t="shared" si="2"/>
        <v>0</v>
      </c>
      <c r="L15" s="39" t="e">
        <f t="shared" si="3"/>
        <v>#DIV/0!</v>
      </c>
    </row>
    <row r="16" spans="1:12" ht="15.75" hidden="1" thickBot="1" x14ac:dyDescent="0.3">
      <c r="A16" s="35">
        <v>104</v>
      </c>
      <c r="B16" s="35">
        <v>1678</v>
      </c>
      <c r="C16" s="35" t="s">
        <v>278</v>
      </c>
      <c r="D16" s="35">
        <v>2</v>
      </c>
      <c r="E16" s="35">
        <v>0</v>
      </c>
      <c r="G16" s="35"/>
      <c r="H16" s="39"/>
      <c r="I16" s="39">
        <f t="shared" si="0"/>
        <v>0</v>
      </c>
      <c r="J16" s="39" t="e">
        <f t="shared" si="1"/>
        <v>#DIV/0!</v>
      </c>
      <c r="K16" s="39">
        <f t="shared" si="2"/>
        <v>0</v>
      </c>
      <c r="L16" s="39" t="e">
        <f t="shared" si="3"/>
        <v>#DIV/0!</v>
      </c>
    </row>
    <row r="17" spans="1:12" ht="15.75" hidden="1" thickBot="1" x14ac:dyDescent="0.3">
      <c r="A17" s="34">
        <v>112</v>
      </c>
      <c r="B17" s="34">
        <v>3481</v>
      </c>
      <c r="C17" s="34" t="s">
        <v>278</v>
      </c>
      <c r="D17" s="34">
        <v>2</v>
      </c>
      <c r="E17" s="34">
        <v>0</v>
      </c>
      <c r="G17" s="35"/>
      <c r="H17" s="39"/>
      <c r="I17" s="39">
        <f t="shared" si="0"/>
        <v>0</v>
      </c>
      <c r="J17" s="39" t="e">
        <f t="shared" si="1"/>
        <v>#DIV/0!</v>
      </c>
      <c r="K17" s="39">
        <f t="shared" si="2"/>
        <v>0</v>
      </c>
      <c r="L17" s="39" t="e">
        <f t="shared" si="3"/>
        <v>#DIV/0!</v>
      </c>
    </row>
    <row r="18" spans="1:12" ht="15.75" hidden="1" thickBot="1" x14ac:dyDescent="0.3">
      <c r="A18" s="35">
        <v>10</v>
      </c>
      <c r="B18" s="35">
        <v>1619</v>
      </c>
      <c r="C18" s="35" t="s">
        <v>278</v>
      </c>
      <c r="D18" s="35">
        <v>2</v>
      </c>
      <c r="E18" s="35">
        <v>0</v>
      </c>
      <c r="G18" s="34"/>
      <c r="H18" s="39"/>
      <c r="I18" s="39">
        <f t="shared" si="0"/>
        <v>0</v>
      </c>
      <c r="J18" s="39" t="e">
        <f t="shared" si="1"/>
        <v>#DIV/0!</v>
      </c>
      <c r="K18" s="39">
        <f t="shared" si="2"/>
        <v>0</v>
      </c>
      <c r="L18" s="39" t="e">
        <f t="shared" si="3"/>
        <v>#DIV/0!</v>
      </c>
    </row>
    <row r="19" spans="1:12" ht="15.75" hidden="1" thickBot="1" x14ac:dyDescent="0.3">
      <c r="A19" s="34">
        <v>2</v>
      </c>
      <c r="B19" s="34">
        <v>1011</v>
      </c>
      <c r="C19" s="34" t="s">
        <v>278</v>
      </c>
      <c r="D19" s="34">
        <v>2</v>
      </c>
      <c r="E19" s="34">
        <v>0</v>
      </c>
      <c r="G19" s="34"/>
      <c r="H19" s="39"/>
      <c r="I19" s="39">
        <f t="shared" si="0"/>
        <v>0</v>
      </c>
      <c r="J19" s="39" t="e">
        <f t="shared" si="1"/>
        <v>#DIV/0!</v>
      </c>
      <c r="K19" s="39">
        <f t="shared" si="2"/>
        <v>0</v>
      </c>
      <c r="L19" s="39" t="e">
        <f t="shared" si="3"/>
        <v>#DIV/0!</v>
      </c>
    </row>
    <row r="20" spans="1:12" ht="15.75" hidden="1" thickBot="1" x14ac:dyDescent="0.3">
      <c r="A20" s="35">
        <v>83</v>
      </c>
      <c r="B20" s="35">
        <v>2403</v>
      </c>
      <c r="C20" s="35" t="s">
        <v>278</v>
      </c>
      <c r="D20" s="35">
        <v>2</v>
      </c>
      <c r="E20" s="35">
        <v>0</v>
      </c>
      <c r="G20" s="35"/>
      <c r="H20" s="39"/>
      <c r="I20" s="39">
        <f t="shared" si="0"/>
        <v>0</v>
      </c>
      <c r="J20" s="39" t="e">
        <f t="shared" si="1"/>
        <v>#DIV/0!</v>
      </c>
      <c r="K20" s="39">
        <f t="shared" si="2"/>
        <v>0</v>
      </c>
      <c r="L20" s="39" t="e">
        <f t="shared" si="3"/>
        <v>#DIV/0!</v>
      </c>
    </row>
    <row r="21" spans="1:12" ht="15.75" hidden="1" thickBot="1" x14ac:dyDescent="0.3">
      <c r="A21" s="34">
        <v>63</v>
      </c>
      <c r="B21" s="34">
        <v>1678</v>
      </c>
      <c r="C21" s="34" t="s">
        <v>278</v>
      </c>
      <c r="D21" s="34">
        <v>2</v>
      </c>
      <c r="E21" s="34">
        <v>0</v>
      </c>
      <c r="G21" s="35"/>
      <c r="H21" s="39"/>
      <c r="I21" s="39">
        <f t="shared" si="0"/>
        <v>0</v>
      </c>
      <c r="J21" s="39" t="e">
        <f t="shared" si="1"/>
        <v>#DIV/0!</v>
      </c>
      <c r="K21" s="39">
        <f t="shared" si="2"/>
        <v>0</v>
      </c>
      <c r="L21" s="39" t="e">
        <f t="shared" si="3"/>
        <v>#DIV/0!</v>
      </c>
    </row>
    <row r="22" spans="1:12" ht="15.75" hidden="1" thickBot="1" x14ac:dyDescent="0.3">
      <c r="A22" s="35">
        <v>111</v>
      </c>
      <c r="B22" s="35">
        <v>687</v>
      </c>
      <c r="C22" s="35" t="s">
        <v>278</v>
      </c>
      <c r="D22" s="35">
        <v>2</v>
      </c>
      <c r="E22" s="35">
        <v>0</v>
      </c>
      <c r="G22" s="34"/>
      <c r="H22" s="39"/>
      <c r="I22" s="39">
        <f t="shared" si="0"/>
        <v>0</v>
      </c>
      <c r="J22" s="39" t="e">
        <f t="shared" si="1"/>
        <v>#DIV/0!</v>
      </c>
      <c r="K22" s="39">
        <f t="shared" si="2"/>
        <v>0</v>
      </c>
      <c r="L22" s="39" t="e">
        <f t="shared" si="3"/>
        <v>#DIV/0!</v>
      </c>
    </row>
    <row r="23" spans="1:12" ht="15.75" hidden="1" thickBot="1" x14ac:dyDescent="0.3">
      <c r="A23" s="34">
        <v>63</v>
      </c>
      <c r="B23" s="34">
        <v>1011</v>
      </c>
      <c r="C23" s="34" t="s">
        <v>278</v>
      </c>
      <c r="D23" s="34">
        <v>2</v>
      </c>
      <c r="E23" s="34">
        <v>0</v>
      </c>
      <c r="G23" s="34"/>
      <c r="H23" s="39"/>
      <c r="I23" s="39">
        <f t="shared" si="0"/>
        <v>0</v>
      </c>
      <c r="J23" s="39" t="e">
        <f t="shared" si="1"/>
        <v>#DIV/0!</v>
      </c>
      <c r="K23" s="39">
        <f t="shared" si="2"/>
        <v>0</v>
      </c>
      <c r="L23" s="39" t="e">
        <f t="shared" si="3"/>
        <v>#DIV/0!</v>
      </c>
    </row>
    <row r="24" spans="1:12" ht="15.75" hidden="1" thickBot="1" x14ac:dyDescent="0.3">
      <c r="A24" s="35">
        <v>106</v>
      </c>
      <c r="B24" s="35">
        <v>1723</v>
      </c>
      <c r="C24" s="35" t="s">
        <v>278</v>
      </c>
      <c r="D24" s="35">
        <v>2</v>
      </c>
      <c r="E24" s="35">
        <v>0</v>
      </c>
      <c r="G24" s="34"/>
      <c r="H24" s="39"/>
      <c r="I24" s="39">
        <f t="shared" si="0"/>
        <v>0</v>
      </c>
      <c r="J24" s="39" t="e">
        <f t="shared" si="1"/>
        <v>#DIV/0!</v>
      </c>
      <c r="K24" s="39">
        <f t="shared" si="2"/>
        <v>0</v>
      </c>
      <c r="L24" s="39" t="e">
        <f t="shared" si="3"/>
        <v>#DIV/0!</v>
      </c>
    </row>
    <row r="25" spans="1:12" ht="15.75" hidden="1" thickBot="1" x14ac:dyDescent="0.3">
      <c r="A25" s="34">
        <v>61</v>
      </c>
      <c r="B25" s="34">
        <v>2403</v>
      </c>
      <c r="C25" s="34" t="s">
        <v>278</v>
      </c>
      <c r="D25" s="34">
        <v>2</v>
      </c>
      <c r="E25" s="34">
        <v>0</v>
      </c>
      <c r="G25" s="35"/>
      <c r="H25" s="39"/>
      <c r="I25" s="39">
        <f t="shared" si="0"/>
        <v>0</v>
      </c>
      <c r="J25" s="39" t="e">
        <f t="shared" si="1"/>
        <v>#DIV/0!</v>
      </c>
      <c r="K25" s="39">
        <f t="shared" si="2"/>
        <v>0</v>
      </c>
      <c r="L25" s="39" t="e">
        <f t="shared" si="3"/>
        <v>#DIV/0!</v>
      </c>
    </row>
    <row r="26" spans="1:12" ht="15.75" hidden="1" thickBot="1" x14ac:dyDescent="0.3">
      <c r="A26" s="35">
        <v>64</v>
      </c>
      <c r="B26" s="35">
        <v>3310</v>
      </c>
      <c r="C26" s="35" t="s">
        <v>278</v>
      </c>
      <c r="D26" s="35">
        <v>2</v>
      </c>
      <c r="E26" s="35">
        <v>0</v>
      </c>
      <c r="G26" s="34"/>
      <c r="H26" s="39"/>
      <c r="I26" s="39">
        <f t="shared" si="0"/>
        <v>0</v>
      </c>
      <c r="J26" s="39" t="e">
        <f t="shared" si="1"/>
        <v>#DIV/0!</v>
      </c>
      <c r="K26" s="39">
        <f t="shared" si="2"/>
        <v>0</v>
      </c>
      <c r="L26" s="39" t="e">
        <f t="shared" si="3"/>
        <v>#DIV/0!</v>
      </c>
    </row>
    <row r="27" spans="1:12" ht="15.75" hidden="1" thickBot="1" x14ac:dyDescent="0.3">
      <c r="A27" s="34">
        <v>87</v>
      </c>
      <c r="B27" s="34">
        <v>1011</v>
      </c>
      <c r="C27" s="34" t="s">
        <v>278</v>
      </c>
      <c r="D27" s="34">
        <v>2</v>
      </c>
      <c r="E27" s="34">
        <v>0</v>
      </c>
      <c r="G27" s="34"/>
      <c r="H27" s="39"/>
      <c r="I27" s="39">
        <f t="shared" si="0"/>
        <v>0</v>
      </c>
      <c r="J27" s="39" t="e">
        <f t="shared" si="1"/>
        <v>#DIV/0!</v>
      </c>
      <c r="K27" s="39">
        <f t="shared" si="2"/>
        <v>0</v>
      </c>
      <c r="L27" s="39" t="e">
        <f t="shared" si="3"/>
        <v>#DIV/0!</v>
      </c>
    </row>
    <row r="28" spans="1:12" ht="15.75" hidden="1" thickBot="1" x14ac:dyDescent="0.3">
      <c r="A28" s="35">
        <v>69</v>
      </c>
      <c r="B28" s="35">
        <v>2403</v>
      </c>
      <c r="C28" s="35" t="s">
        <v>278</v>
      </c>
      <c r="D28" s="35">
        <v>2</v>
      </c>
      <c r="E28" s="35">
        <v>0</v>
      </c>
      <c r="G28" s="35"/>
      <c r="H28" s="39"/>
      <c r="I28" s="39">
        <f t="shared" si="0"/>
        <v>0</v>
      </c>
      <c r="J28" s="39" t="e">
        <f t="shared" si="1"/>
        <v>#DIV/0!</v>
      </c>
      <c r="K28" s="39">
        <f t="shared" si="2"/>
        <v>0</v>
      </c>
      <c r="L28" s="39" t="e">
        <f t="shared" si="3"/>
        <v>#DIV/0!</v>
      </c>
    </row>
    <row r="29" spans="1:12" ht="15.75" hidden="1" thickBot="1" x14ac:dyDescent="0.3">
      <c r="A29" s="34">
        <v>86</v>
      </c>
      <c r="B29" s="34">
        <v>3128</v>
      </c>
      <c r="C29" s="34" t="s">
        <v>278</v>
      </c>
      <c r="D29" s="34">
        <v>2</v>
      </c>
      <c r="E29" s="34">
        <v>0</v>
      </c>
      <c r="G29" s="35"/>
      <c r="H29" s="39"/>
      <c r="I29" s="39">
        <f t="shared" si="0"/>
        <v>0</v>
      </c>
      <c r="J29" s="39" t="e">
        <f t="shared" si="1"/>
        <v>#DIV/0!</v>
      </c>
      <c r="K29" s="39">
        <f t="shared" si="2"/>
        <v>0</v>
      </c>
      <c r="L29" s="39" t="e">
        <f t="shared" si="3"/>
        <v>#DIV/0!</v>
      </c>
    </row>
    <row r="30" spans="1:12" ht="15.75" hidden="1" thickBot="1" x14ac:dyDescent="0.3">
      <c r="A30" s="35">
        <v>7</v>
      </c>
      <c r="B30" s="35">
        <v>1678</v>
      </c>
      <c r="C30" s="35" t="s">
        <v>278</v>
      </c>
      <c r="D30" s="35">
        <v>2</v>
      </c>
      <c r="E30" s="35">
        <v>0</v>
      </c>
      <c r="G30" s="35"/>
      <c r="H30" s="39"/>
      <c r="I30" s="39">
        <f t="shared" si="0"/>
        <v>0</v>
      </c>
      <c r="J30" s="39" t="e">
        <f t="shared" si="1"/>
        <v>#DIV/0!</v>
      </c>
      <c r="K30" s="39">
        <f t="shared" si="2"/>
        <v>0</v>
      </c>
      <c r="L30" s="39" t="e">
        <f t="shared" si="3"/>
        <v>#DIV/0!</v>
      </c>
    </row>
    <row r="31" spans="1:12" ht="15.75" hidden="1" thickBot="1" x14ac:dyDescent="0.3">
      <c r="A31" s="34">
        <v>76</v>
      </c>
      <c r="B31" s="34">
        <v>1251</v>
      </c>
      <c r="C31" s="34" t="s">
        <v>278</v>
      </c>
      <c r="D31" s="34">
        <v>1</v>
      </c>
      <c r="E31" s="34">
        <v>1</v>
      </c>
      <c r="G31" s="35"/>
      <c r="H31" s="39"/>
      <c r="I31" s="39">
        <f t="shared" si="0"/>
        <v>0</v>
      </c>
      <c r="J31" s="39" t="e">
        <f t="shared" si="1"/>
        <v>#DIV/0!</v>
      </c>
      <c r="K31" s="39">
        <f t="shared" si="2"/>
        <v>0</v>
      </c>
      <c r="L31" s="39" t="e">
        <f t="shared" si="3"/>
        <v>#DIV/0!</v>
      </c>
    </row>
    <row r="32" spans="1:12" ht="15.75" hidden="1" thickBot="1" x14ac:dyDescent="0.3">
      <c r="A32" s="35">
        <v>84</v>
      </c>
      <c r="B32" s="35">
        <v>1251</v>
      </c>
      <c r="C32" s="35" t="s">
        <v>278</v>
      </c>
      <c r="D32" s="35">
        <v>1</v>
      </c>
      <c r="E32" s="35">
        <v>0</v>
      </c>
      <c r="G32" s="35"/>
      <c r="H32" s="39"/>
      <c r="I32" s="39">
        <f t="shared" si="0"/>
        <v>0</v>
      </c>
      <c r="J32" s="39" t="e">
        <f t="shared" si="1"/>
        <v>#DIV/0!</v>
      </c>
      <c r="K32" s="39">
        <f t="shared" si="2"/>
        <v>0</v>
      </c>
      <c r="L32" s="39" t="e">
        <f t="shared" si="3"/>
        <v>#DIV/0!</v>
      </c>
    </row>
    <row r="33" spans="1:12" ht="15.75" hidden="1" thickBot="1" x14ac:dyDescent="0.3">
      <c r="A33" s="34">
        <v>76</v>
      </c>
      <c r="B33" s="34">
        <v>6510</v>
      </c>
      <c r="C33" s="34" t="s">
        <v>278</v>
      </c>
      <c r="D33" s="34">
        <v>1</v>
      </c>
      <c r="E33" s="34">
        <v>0</v>
      </c>
      <c r="G33" s="35"/>
      <c r="H33" s="39"/>
      <c r="I33" s="39">
        <f t="shared" si="0"/>
        <v>0</v>
      </c>
      <c r="J33" s="39" t="e">
        <f t="shared" si="1"/>
        <v>#DIV/0!</v>
      </c>
      <c r="K33" s="39">
        <f t="shared" si="2"/>
        <v>0</v>
      </c>
      <c r="L33" s="39" t="e">
        <f t="shared" si="3"/>
        <v>#DIV/0!</v>
      </c>
    </row>
    <row r="34" spans="1:12" ht="15.75" hidden="1" thickBot="1" x14ac:dyDescent="0.3">
      <c r="A34" s="35">
        <v>82</v>
      </c>
      <c r="B34" s="35">
        <v>832</v>
      </c>
      <c r="C34" s="35" t="s">
        <v>278</v>
      </c>
      <c r="D34" s="35">
        <v>1</v>
      </c>
      <c r="E34" s="35">
        <v>0</v>
      </c>
      <c r="G34" s="35"/>
      <c r="H34" s="39"/>
      <c r="I34" s="39">
        <f t="shared" ref="I34:I65" si="4">SUMIF(B:B,G34,D:D)</f>
        <v>0</v>
      </c>
      <c r="J34" s="39" t="e">
        <f t="shared" ref="J34:J65" si="5">I34/H34</f>
        <v>#DIV/0!</v>
      </c>
      <c r="K34" s="39">
        <f t="shared" ref="K34:K65" si="6">SUMIF(B:B,G34,E:E)</f>
        <v>0</v>
      </c>
      <c r="L34" s="39" t="e">
        <f t="shared" ref="L34:L65" si="7">K34/H34</f>
        <v>#DIV/0!</v>
      </c>
    </row>
    <row r="35" spans="1:12" ht="15.75" hidden="1" thickBot="1" x14ac:dyDescent="0.3">
      <c r="A35" s="34">
        <v>79</v>
      </c>
      <c r="B35" s="34">
        <v>6508</v>
      </c>
      <c r="C35" s="34" t="s">
        <v>278</v>
      </c>
      <c r="D35" s="34">
        <v>1</v>
      </c>
      <c r="E35" s="34">
        <v>0</v>
      </c>
      <c r="G35" s="34"/>
      <c r="H35" s="39"/>
      <c r="I35" s="39">
        <f t="shared" si="4"/>
        <v>0</v>
      </c>
      <c r="J35" s="39" t="e">
        <f t="shared" si="5"/>
        <v>#DIV/0!</v>
      </c>
      <c r="K35" s="39">
        <f t="shared" si="6"/>
        <v>0</v>
      </c>
      <c r="L35" s="39" t="e">
        <f t="shared" si="7"/>
        <v>#DIV/0!</v>
      </c>
    </row>
    <row r="36" spans="1:12" ht="15.75" hidden="1" thickBot="1" x14ac:dyDescent="0.3">
      <c r="A36" s="35">
        <v>78</v>
      </c>
      <c r="B36" s="35">
        <v>3128</v>
      </c>
      <c r="C36" s="35" t="s">
        <v>278</v>
      </c>
      <c r="D36" s="35">
        <v>1</v>
      </c>
      <c r="E36" s="35">
        <v>0</v>
      </c>
      <c r="G36" s="34"/>
      <c r="H36" s="39"/>
      <c r="I36" s="39">
        <f t="shared" si="4"/>
        <v>0</v>
      </c>
      <c r="J36" s="39" t="e">
        <f t="shared" si="5"/>
        <v>#DIV/0!</v>
      </c>
      <c r="K36" s="39">
        <f t="shared" si="6"/>
        <v>0</v>
      </c>
      <c r="L36" s="39" t="e">
        <f t="shared" si="7"/>
        <v>#DIV/0!</v>
      </c>
    </row>
    <row r="37" spans="1:12" ht="15.75" hidden="1" thickBot="1" x14ac:dyDescent="0.3">
      <c r="A37" s="34">
        <v>81</v>
      </c>
      <c r="B37" s="34">
        <v>3481</v>
      </c>
      <c r="C37" s="34" t="s">
        <v>278</v>
      </c>
      <c r="D37" s="34">
        <v>1</v>
      </c>
      <c r="E37" s="34">
        <v>0</v>
      </c>
      <c r="G37" s="34"/>
      <c r="H37" s="39"/>
      <c r="I37" s="39">
        <f t="shared" si="4"/>
        <v>0</v>
      </c>
      <c r="J37" s="39" t="e">
        <f t="shared" si="5"/>
        <v>#DIV/0!</v>
      </c>
      <c r="K37" s="39">
        <f t="shared" si="6"/>
        <v>0</v>
      </c>
      <c r="L37" s="39" t="e">
        <f t="shared" si="7"/>
        <v>#DIV/0!</v>
      </c>
    </row>
    <row r="38" spans="1:12" ht="15.75" hidden="1" thickBot="1" x14ac:dyDescent="0.3">
      <c r="A38" s="35">
        <v>82</v>
      </c>
      <c r="B38" s="35">
        <v>1982</v>
      </c>
      <c r="C38" s="35" t="s">
        <v>278</v>
      </c>
      <c r="D38" s="35">
        <v>1</v>
      </c>
      <c r="E38" s="35">
        <v>0</v>
      </c>
      <c r="G38" s="35"/>
      <c r="H38" s="39"/>
      <c r="I38" s="39">
        <f t="shared" si="4"/>
        <v>0</v>
      </c>
      <c r="J38" s="39" t="e">
        <f t="shared" si="5"/>
        <v>#DIV/0!</v>
      </c>
      <c r="K38" s="39">
        <f t="shared" si="6"/>
        <v>0</v>
      </c>
      <c r="L38" s="39" t="e">
        <f t="shared" si="7"/>
        <v>#DIV/0!</v>
      </c>
    </row>
    <row r="39" spans="1:12" ht="15.75" hidden="1" thickBot="1" x14ac:dyDescent="0.3">
      <c r="A39" s="34">
        <v>78</v>
      </c>
      <c r="B39" s="34">
        <v>5663</v>
      </c>
      <c r="C39" s="34" t="s">
        <v>278</v>
      </c>
      <c r="D39" s="34">
        <v>1</v>
      </c>
      <c r="E39" s="34">
        <v>0</v>
      </c>
      <c r="G39" s="35"/>
      <c r="H39" s="39"/>
      <c r="I39" s="39">
        <f t="shared" si="4"/>
        <v>0</v>
      </c>
      <c r="J39" s="39" t="e">
        <f t="shared" si="5"/>
        <v>#DIV/0!</v>
      </c>
      <c r="K39" s="39">
        <f t="shared" si="6"/>
        <v>0</v>
      </c>
      <c r="L39" s="39" t="e">
        <f t="shared" si="7"/>
        <v>#DIV/0!</v>
      </c>
    </row>
    <row r="40" spans="1:12" ht="15.75" hidden="1" thickBot="1" x14ac:dyDescent="0.3">
      <c r="A40" s="35">
        <v>77</v>
      </c>
      <c r="B40" s="35">
        <v>1648</v>
      </c>
      <c r="C40" s="35" t="s">
        <v>278</v>
      </c>
      <c r="D40" s="35">
        <v>1</v>
      </c>
      <c r="E40" s="35">
        <v>0</v>
      </c>
      <c r="G40" s="35"/>
      <c r="H40" s="39"/>
      <c r="I40" s="39">
        <f t="shared" si="4"/>
        <v>0</v>
      </c>
      <c r="J40" s="39" t="e">
        <f t="shared" si="5"/>
        <v>#DIV/0!</v>
      </c>
      <c r="K40" s="39">
        <f t="shared" si="6"/>
        <v>0</v>
      </c>
      <c r="L40" s="39" t="e">
        <f t="shared" si="7"/>
        <v>#DIV/0!</v>
      </c>
    </row>
    <row r="41" spans="1:12" ht="15.75" hidden="1" thickBot="1" x14ac:dyDescent="0.3">
      <c r="A41" s="34">
        <v>75</v>
      </c>
      <c r="B41" s="34">
        <v>3158</v>
      </c>
      <c r="C41" s="34" t="s">
        <v>278</v>
      </c>
      <c r="D41" s="34">
        <v>1</v>
      </c>
      <c r="E41" s="34">
        <v>0</v>
      </c>
      <c r="G41" s="35"/>
      <c r="H41" s="39"/>
      <c r="I41" s="39">
        <f t="shared" si="4"/>
        <v>0</v>
      </c>
      <c r="J41" s="39" t="e">
        <f t="shared" si="5"/>
        <v>#DIV/0!</v>
      </c>
      <c r="K41" s="39">
        <f t="shared" si="6"/>
        <v>0</v>
      </c>
      <c r="L41" s="39" t="e">
        <f t="shared" si="7"/>
        <v>#DIV/0!</v>
      </c>
    </row>
    <row r="42" spans="1:12" ht="15.75" hidden="1" thickBot="1" x14ac:dyDescent="0.3">
      <c r="A42" s="35">
        <v>74</v>
      </c>
      <c r="B42" s="35">
        <v>5199</v>
      </c>
      <c r="C42" s="35" t="s">
        <v>278</v>
      </c>
      <c r="D42" s="35">
        <v>1</v>
      </c>
      <c r="E42" s="35">
        <v>0</v>
      </c>
      <c r="G42" s="34"/>
      <c r="H42" s="39"/>
      <c r="I42" s="39">
        <f t="shared" si="4"/>
        <v>0</v>
      </c>
      <c r="J42" s="39" t="e">
        <f t="shared" si="5"/>
        <v>#DIV/0!</v>
      </c>
      <c r="K42" s="39">
        <f t="shared" si="6"/>
        <v>0</v>
      </c>
      <c r="L42" s="39" t="e">
        <f t="shared" si="7"/>
        <v>#DIV/0!</v>
      </c>
    </row>
    <row r="43" spans="1:12" ht="15.75" hidden="1" thickBot="1" x14ac:dyDescent="0.3">
      <c r="A43" s="34">
        <v>65</v>
      </c>
      <c r="B43" s="34">
        <v>6508</v>
      </c>
      <c r="C43" s="34" t="s">
        <v>278</v>
      </c>
      <c r="D43" s="34">
        <v>1</v>
      </c>
      <c r="E43" s="34">
        <v>0</v>
      </c>
      <c r="G43" s="35"/>
      <c r="H43" s="39"/>
      <c r="I43" s="39">
        <f t="shared" si="4"/>
        <v>0</v>
      </c>
      <c r="J43" s="39" t="e">
        <f t="shared" si="5"/>
        <v>#DIV/0!</v>
      </c>
      <c r="K43" s="39">
        <f t="shared" si="6"/>
        <v>0</v>
      </c>
      <c r="L43" s="39" t="e">
        <f t="shared" si="7"/>
        <v>#DIV/0!</v>
      </c>
    </row>
    <row r="44" spans="1:12" ht="15.75" hidden="1" thickBot="1" x14ac:dyDescent="0.3">
      <c r="A44" s="35">
        <v>66</v>
      </c>
      <c r="B44" s="35">
        <v>3309</v>
      </c>
      <c r="C44" s="35" t="s">
        <v>278</v>
      </c>
      <c r="D44" s="35">
        <v>1</v>
      </c>
      <c r="E44" s="35">
        <v>0</v>
      </c>
      <c r="G44" s="34"/>
      <c r="H44" s="39"/>
      <c r="I44" s="39">
        <f t="shared" si="4"/>
        <v>0</v>
      </c>
      <c r="J44" s="39" t="e">
        <f t="shared" si="5"/>
        <v>#DIV/0!</v>
      </c>
      <c r="K44" s="39">
        <f t="shared" si="6"/>
        <v>0</v>
      </c>
      <c r="L44" s="39" t="e">
        <f t="shared" si="7"/>
        <v>#DIV/0!</v>
      </c>
    </row>
    <row r="45" spans="1:12" ht="15.75" hidden="1" thickBot="1" x14ac:dyDescent="0.3">
      <c r="A45" s="34">
        <v>67</v>
      </c>
      <c r="B45" s="34">
        <v>1982</v>
      </c>
      <c r="C45" s="34" t="s">
        <v>278</v>
      </c>
      <c r="D45" s="34">
        <v>1</v>
      </c>
      <c r="E45" s="34">
        <v>0</v>
      </c>
      <c r="G45" s="35"/>
      <c r="H45" s="39"/>
      <c r="I45" s="39">
        <f t="shared" si="4"/>
        <v>0</v>
      </c>
      <c r="J45" s="39" t="e">
        <f t="shared" si="5"/>
        <v>#DIV/0!</v>
      </c>
      <c r="K45" s="39">
        <f t="shared" si="6"/>
        <v>0</v>
      </c>
      <c r="L45" s="39" t="e">
        <f t="shared" si="7"/>
        <v>#DIV/0!</v>
      </c>
    </row>
    <row r="46" spans="1:12" ht="15.75" hidden="1" thickBot="1" x14ac:dyDescent="0.3">
      <c r="A46" s="35">
        <v>68</v>
      </c>
      <c r="B46" s="35">
        <v>624</v>
      </c>
      <c r="C46" s="35" t="s">
        <v>278</v>
      </c>
      <c r="D46" s="35">
        <v>1</v>
      </c>
      <c r="E46" s="35">
        <v>0</v>
      </c>
      <c r="G46" s="35"/>
      <c r="H46" s="39"/>
      <c r="I46" s="39">
        <f t="shared" si="4"/>
        <v>0</v>
      </c>
      <c r="J46" s="39" t="e">
        <f t="shared" si="5"/>
        <v>#DIV/0!</v>
      </c>
      <c r="K46" s="39">
        <f t="shared" si="6"/>
        <v>0</v>
      </c>
      <c r="L46" s="39" t="e">
        <f t="shared" si="7"/>
        <v>#DIV/0!</v>
      </c>
    </row>
    <row r="47" spans="1:12" ht="15.75" hidden="1" thickBot="1" x14ac:dyDescent="0.3">
      <c r="A47" s="34">
        <v>66</v>
      </c>
      <c r="B47" s="34">
        <v>3158</v>
      </c>
      <c r="C47" s="34" t="s">
        <v>278</v>
      </c>
      <c r="D47" s="34">
        <v>1</v>
      </c>
      <c r="E47" s="34">
        <v>0</v>
      </c>
      <c r="G47" s="34"/>
      <c r="H47" s="39"/>
      <c r="I47" s="39">
        <f t="shared" si="4"/>
        <v>0</v>
      </c>
      <c r="J47" s="39" t="e">
        <f t="shared" si="5"/>
        <v>#DIV/0!</v>
      </c>
      <c r="K47" s="39">
        <f t="shared" si="6"/>
        <v>0</v>
      </c>
      <c r="L47" s="39" t="e">
        <f t="shared" si="7"/>
        <v>#DIV/0!</v>
      </c>
    </row>
    <row r="48" spans="1:12" ht="15.75" hidden="1" thickBot="1" x14ac:dyDescent="0.3">
      <c r="A48" s="35">
        <v>68</v>
      </c>
      <c r="B48" s="35">
        <v>1011</v>
      </c>
      <c r="C48" s="35" t="s">
        <v>278</v>
      </c>
      <c r="D48" s="35">
        <v>1</v>
      </c>
      <c r="E48" s="35">
        <v>0</v>
      </c>
      <c r="G48" s="34"/>
      <c r="H48" s="39"/>
      <c r="I48" s="39">
        <f t="shared" si="4"/>
        <v>0</v>
      </c>
      <c r="J48" s="39" t="e">
        <f t="shared" si="5"/>
        <v>#DIV/0!</v>
      </c>
      <c r="K48" s="39">
        <f t="shared" si="6"/>
        <v>0</v>
      </c>
      <c r="L48" s="39" t="e">
        <f t="shared" si="7"/>
        <v>#DIV/0!</v>
      </c>
    </row>
    <row r="49" spans="1:12" ht="15.75" hidden="1" thickBot="1" x14ac:dyDescent="0.3">
      <c r="A49" s="34">
        <v>69</v>
      </c>
      <c r="B49" s="34">
        <v>3481</v>
      </c>
      <c r="C49" s="34" t="s">
        <v>278</v>
      </c>
      <c r="D49" s="34">
        <v>1</v>
      </c>
      <c r="E49" s="34">
        <v>0</v>
      </c>
      <c r="G49" s="34"/>
      <c r="H49" s="39"/>
      <c r="I49" s="39">
        <f t="shared" si="4"/>
        <v>0</v>
      </c>
      <c r="J49" s="39" t="e">
        <f t="shared" si="5"/>
        <v>#DIV/0!</v>
      </c>
      <c r="K49" s="39">
        <f t="shared" si="6"/>
        <v>0</v>
      </c>
      <c r="L49" s="39" t="e">
        <f t="shared" si="7"/>
        <v>#DIV/0!</v>
      </c>
    </row>
    <row r="50" spans="1:12" ht="15.75" hidden="1" thickBot="1" x14ac:dyDescent="0.3">
      <c r="A50" s="35">
        <v>70</v>
      </c>
      <c r="B50" s="35">
        <v>968</v>
      </c>
      <c r="C50" s="35" t="s">
        <v>278</v>
      </c>
      <c r="D50" s="35">
        <v>1</v>
      </c>
      <c r="E50" s="35">
        <v>0</v>
      </c>
      <c r="G50" s="35"/>
      <c r="H50" s="39"/>
      <c r="I50" s="39">
        <f t="shared" si="4"/>
        <v>0</v>
      </c>
      <c r="J50" s="39" t="e">
        <f t="shared" si="5"/>
        <v>#DIV/0!</v>
      </c>
      <c r="K50" s="39">
        <f t="shared" si="6"/>
        <v>0</v>
      </c>
      <c r="L50" s="39" t="e">
        <f t="shared" si="7"/>
        <v>#DIV/0!</v>
      </c>
    </row>
    <row r="51" spans="1:12" ht="15.75" hidden="1" thickBot="1" x14ac:dyDescent="0.3">
      <c r="A51" s="34">
        <v>70</v>
      </c>
      <c r="B51" s="34">
        <v>1619</v>
      </c>
      <c r="C51" s="34" t="s">
        <v>278</v>
      </c>
      <c r="D51" s="34">
        <v>1</v>
      </c>
      <c r="E51" s="34">
        <v>0</v>
      </c>
      <c r="G51" s="34"/>
      <c r="H51" s="39"/>
      <c r="I51" s="39">
        <f t="shared" si="4"/>
        <v>0</v>
      </c>
      <c r="J51" s="39" t="e">
        <f t="shared" si="5"/>
        <v>#DIV/0!</v>
      </c>
      <c r="K51" s="39">
        <f t="shared" si="6"/>
        <v>0</v>
      </c>
      <c r="L51" s="39" t="e">
        <f t="shared" si="7"/>
        <v>#DIV/0!</v>
      </c>
    </row>
    <row r="52" spans="1:12" ht="15.75" hidden="1" thickBot="1" x14ac:dyDescent="0.3">
      <c r="A52" s="35">
        <v>71</v>
      </c>
      <c r="B52" s="35">
        <v>832</v>
      </c>
      <c r="C52" s="35" t="s">
        <v>278</v>
      </c>
      <c r="D52" s="35">
        <v>1</v>
      </c>
      <c r="E52" s="35">
        <v>0</v>
      </c>
      <c r="G52" s="34"/>
      <c r="H52" s="39"/>
      <c r="I52" s="39">
        <f t="shared" si="4"/>
        <v>0</v>
      </c>
      <c r="J52" s="39" t="e">
        <f t="shared" si="5"/>
        <v>#DIV/0!</v>
      </c>
      <c r="K52" s="39">
        <f t="shared" si="6"/>
        <v>0</v>
      </c>
      <c r="L52" s="39" t="e">
        <f t="shared" si="7"/>
        <v>#DIV/0!</v>
      </c>
    </row>
    <row r="53" spans="1:12" ht="15.75" hidden="1" thickBot="1" x14ac:dyDescent="0.3">
      <c r="A53" s="34">
        <v>107</v>
      </c>
      <c r="B53" s="34">
        <v>3737</v>
      </c>
      <c r="C53" s="34" t="s">
        <v>278</v>
      </c>
      <c r="D53" s="34">
        <v>1</v>
      </c>
      <c r="E53" s="34">
        <v>0</v>
      </c>
      <c r="G53" s="35"/>
      <c r="H53" s="39"/>
      <c r="I53" s="39">
        <f t="shared" si="4"/>
        <v>0</v>
      </c>
      <c r="J53" s="39" t="e">
        <f t="shared" si="5"/>
        <v>#DIV/0!</v>
      </c>
      <c r="K53" s="39">
        <f t="shared" si="6"/>
        <v>0</v>
      </c>
      <c r="L53" s="39" t="e">
        <f t="shared" si="7"/>
        <v>#DIV/0!</v>
      </c>
    </row>
    <row r="54" spans="1:12" ht="15.75" hidden="1" thickBot="1" x14ac:dyDescent="0.3">
      <c r="A54" s="35">
        <v>71</v>
      </c>
      <c r="B54" s="35">
        <v>6508</v>
      </c>
      <c r="C54" s="35" t="s">
        <v>278</v>
      </c>
      <c r="D54" s="35">
        <v>1</v>
      </c>
      <c r="E54" s="35">
        <v>0</v>
      </c>
      <c r="G54" s="34"/>
      <c r="H54" s="39"/>
      <c r="I54" s="39">
        <f t="shared" si="4"/>
        <v>0</v>
      </c>
      <c r="J54" s="39" t="e">
        <f t="shared" si="5"/>
        <v>#DIV/0!</v>
      </c>
      <c r="K54" s="39">
        <f t="shared" si="6"/>
        <v>0</v>
      </c>
      <c r="L54" s="39" t="e">
        <f t="shared" si="7"/>
        <v>#DIV/0!</v>
      </c>
    </row>
    <row r="55" spans="1:12" ht="15.75" hidden="1" thickBot="1" x14ac:dyDescent="0.3">
      <c r="A55" s="34">
        <v>72</v>
      </c>
      <c r="B55" s="34">
        <v>3501</v>
      </c>
      <c r="C55" s="34" t="s">
        <v>278</v>
      </c>
      <c r="D55" s="34">
        <v>1</v>
      </c>
      <c r="E55" s="34">
        <v>0</v>
      </c>
      <c r="G55" s="35"/>
      <c r="H55" s="39"/>
      <c r="I55" s="39">
        <f t="shared" si="4"/>
        <v>0</v>
      </c>
      <c r="J55" s="39" t="e">
        <f t="shared" si="5"/>
        <v>#DIV/0!</v>
      </c>
      <c r="K55" s="39">
        <f t="shared" si="6"/>
        <v>0</v>
      </c>
      <c r="L55" s="39" t="e">
        <f t="shared" si="7"/>
        <v>#DIV/0!</v>
      </c>
    </row>
    <row r="56" spans="1:12" ht="15.75" hidden="1" thickBot="1" x14ac:dyDescent="0.3">
      <c r="A56" s="35">
        <v>73</v>
      </c>
      <c r="B56" s="35">
        <v>604</v>
      </c>
      <c r="C56" s="35" t="s">
        <v>278</v>
      </c>
      <c r="D56" s="35">
        <v>1</v>
      </c>
      <c r="E56" s="35">
        <v>0</v>
      </c>
      <c r="G56" s="35"/>
      <c r="H56" s="39"/>
      <c r="I56" s="39">
        <f t="shared" si="4"/>
        <v>0</v>
      </c>
      <c r="J56" s="39" t="e">
        <f t="shared" si="5"/>
        <v>#DIV/0!</v>
      </c>
      <c r="K56" s="39">
        <f t="shared" si="6"/>
        <v>0</v>
      </c>
      <c r="L56" s="39" t="e">
        <f t="shared" si="7"/>
        <v>#DIV/0!</v>
      </c>
    </row>
    <row r="57" spans="1:12" ht="15.75" hidden="1" thickBot="1" x14ac:dyDescent="0.3">
      <c r="A57" s="34">
        <v>74</v>
      </c>
      <c r="B57" s="34">
        <v>687</v>
      </c>
      <c r="C57" s="34" t="s">
        <v>278</v>
      </c>
      <c r="D57" s="34">
        <v>1</v>
      </c>
      <c r="E57" s="34">
        <v>0</v>
      </c>
      <c r="G57" s="35"/>
      <c r="H57" s="39"/>
      <c r="I57" s="39">
        <f t="shared" si="4"/>
        <v>0</v>
      </c>
      <c r="J57" s="39" t="e">
        <f t="shared" si="5"/>
        <v>#DIV/0!</v>
      </c>
      <c r="K57" s="39">
        <f t="shared" si="6"/>
        <v>0</v>
      </c>
      <c r="L57" s="39" t="e">
        <f t="shared" si="7"/>
        <v>#DIV/0!</v>
      </c>
    </row>
    <row r="58" spans="1:12" ht="15.75" hidden="1" thickBot="1" x14ac:dyDescent="0.3">
      <c r="A58" s="35">
        <v>75</v>
      </c>
      <c r="B58" s="35">
        <v>812</v>
      </c>
      <c r="C58" s="35" t="s">
        <v>278</v>
      </c>
      <c r="D58" s="35">
        <v>1</v>
      </c>
      <c r="E58" s="35">
        <v>0</v>
      </c>
      <c r="G58" s="35"/>
      <c r="H58" s="39"/>
      <c r="I58" s="39">
        <f t="shared" si="4"/>
        <v>0</v>
      </c>
      <c r="J58" s="39" t="e">
        <f t="shared" si="5"/>
        <v>#DIV/0!</v>
      </c>
      <c r="K58" s="39">
        <f t="shared" si="6"/>
        <v>0</v>
      </c>
      <c r="L58" s="39" t="e">
        <f t="shared" si="7"/>
        <v>#DIV/0!</v>
      </c>
    </row>
    <row r="59" spans="1:12" ht="15.75" hidden="1" thickBot="1" x14ac:dyDescent="0.3">
      <c r="A59" s="34">
        <v>84</v>
      </c>
      <c r="B59" s="34">
        <v>6474</v>
      </c>
      <c r="C59" s="34" t="s">
        <v>278</v>
      </c>
      <c r="D59" s="34">
        <v>1</v>
      </c>
      <c r="E59" s="34">
        <v>0</v>
      </c>
      <c r="G59" s="34"/>
      <c r="H59" s="39"/>
      <c r="I59" s="39">
        <f t="shared" si="4"/>
        <v>0</v>
      </c>
      <c r="J59" s="39" t="e">
        <f t="shared" si="5"/>
        <v>#DIV/0!</v>
      </c>
      <c r="K59" s="39">
        <f t="shared" si="6"/>
        <v>0</v>
      </c>
      <c r="L59" s="39" t="e">
        <f t="shared" si="7"/>
        <v>#DIV/0!</v>
      </c>
    </row>
    <row r="60" spans="1:12" ht="15.75" hidden="1" thickBot="1" x14ac:dyDescent="0.3">
      <c r="A60" s="35">
        <v>99</v>
      </c>
      <c r="B60" s="35">
        <v>1648</v>
      </c>
      <c r="C60" s="35" t="s">
        <v>278</v>
      </c>
      <c r="D60" s="35">
        <v>1</v>
      </c>
      <c r="E60" s="35">
        <v>0</v>
      </c>
      <c r="G60" s="35"/>
      <c r="H60" s="39"/>
      <c r="I60" s="39">
        <f t="shared" si="4"/>
        <v>0</v>
      </c>
      <c r="J60" s="39" t="e">
        <f t="shared" si="5"/>
        <v>#DIV/0!</v>
      </c>
      <c r="K60" s="39">
        <f t="shared" si="6"/>
        <v>0</v>
      </c>
      <c r="L60" s="39" t="e">
        <f t="shared" si="7"/>
        <v>#DIV/0!</v>
      </c>
    </row>
    <row r="61" spans="1:12" ht="15.75" hidden="1" thickBot="1" x14ac:dyDescent="0.3">
      <c r="A61" s="34">
        <v>99</v>
      </c>
      <c r="B61" s="34">
        <v>5663</v>
      </c>
      <c r="C61" s="34" t="s">
        <v>278</v>
      </c>
      <c r="D61" s="34">
        <v>1</v>
      </c>
      <c r="E61" s="34">
        <v>0</v>
      </c>
      <c r="G61" s="34"/>
      <c r="H61" s="39"/>
      <c r="I61" s="39">
        <f t="shared" si="4"/>
        <v>0</v>
      </c>
      <c r="J61" s="39" t="e">
        <f t="shared" si="5"/>
        <v>#DIV/0!</v>
      </c>
      <c r="K61" s="39">
        <f t="shared" si="6"/>
        <v>0</v>
      </c>
      <c r="L61" s="39" t="e">
        <f t="shared" si="7"/>
        <v>#DIV/0!</v>
      </c>
    </row>
    <row r="62" spans="1:12" ht="15.75" hidden="1" thickBot="1" x14ac:dyDescent="0.3">
      <c r="A62" s="35">
        <v>100</v>
      </c>
      <c r="B62" s="35">
        <v>832</v>
      </c>
      <c r="C62" s="35" t="s">
        <v>278</v>
      </c>
      <c r="D62" s="35">
        <v>1</v>
      </c>
      <c r="E62" s="35">
        <v>0</v>
      </c>
      <c r="G62" s="35"/>
      <c r="H62" s="39"/>
      <c r="I62" s="39">
        <f t="shared" si="4"/>
        <v>0</v>
      </c>
      <c r="J62" s="39" t="e">
        <f t="shared" si="5"/>
        <v>#DIV/0!</v>
      </c>
      <c r="K62" s="39">
        <f t="shared" si="6"/>
        <v>0</v>
      </c>
      <c r="L62" s="39" t="e">
        <f t="shared" si="7"/>
        <v>#DIV/0!</v>
      </c>
    </row>
    <row r="63" spans="1:12" ht="15.75" hidden="1" thickBot="1" x14ac:dyDescent="0.3">
      <c r="A63" s="34">
        <v>100</v>
      </c>
      <c r="B63" s="34">
        <v>3481</v>
      </c>
      <c r="C63" s="34" t="s">
        <v>278</v>
      </c>
      <c r="D63" s="34">
        <v>1</v>
      </c>
      <c r="E63" s="34">
        <v>0</v>
      </c>
      <c r="G63" s="34"/>
      <c r="H63" s="39"/>
      <c r="I63" s="39">
        <f t="shared" si="4"/>
        <v>0</v>
      </c>
      <c r="J63" s="39" t="e">
        <f t="shared" si="5"/>
        <v>#DIV/0!</v>
      </c>
      <c r="K63" s="39">
        <f t="shared" si="6"/>
        <v>0</v>
      </c>
      <c r="L63" s="39" t="e">
        <f t="shared" si="7"/>
        <v>#DIV/0!</v>
      </c>
    </row>
    <row r="64" spans="1:12" ht="15.75" hidden="1" thickBot="1" x14ac:dyDescent="0.3">
      <c r="A64" s="35">
        <v>101</v>
      </c>
      <c r="B64" s="35">
        <v>1251</v>
      </c>
      <c r="C64" s="35" t="s">
        <v>278</v>
      </c>
      <c r="D64" s="35">
        <v>1</v>
      </c>
      <c r="E64" s="35">
        <v>1</v>
      </c>
      <c r="G64" s="35"/>
      <c r="H64" s="39"/>
      <c r="I64" s="39">
        <f t="shared" si="4"/>
        <v>0</v>
      </c>
      <c r="J64" s="39" t="e">
        <f t="shared" si="5"/>
        <v>#DIV/0!</v>
      </c>
      <c r="K64" s="39">
        <f t="shared" si="6"/>
        <v>0</v>
      </c>
      <c r="L64" s="39" t="e">
        <f t="shared" si="7"/>
        <v>#DIV/0!</v>
      </c>
    </row>
    <row r="65" spans="1:12" ht="15.75" hidden="1" thickBot="1" x14ac:dyDescent="0.3">
      <c r="A65" s="34">
        <v>101</v>
      </c>
      <c r="B65" s="34">
        <v>4513</v>
      </c>
      <c r="C65" s="34" t="s">
        <v>278</v>
      </c>
      <c r="D65" s="34">
        <v>1</v>
      </c>
      <c r="E65" s="34">
        <v>0</v>
      </c>
      <c r="G65" s="34"/>
      <c r="H65" s="39"/>
      <c r="I65" s="39">
        <f t="shared" si="4"/>
        <v>0</v>
      </c>
      <c r="J65" s="39" t="e">
        <f t="shared" si="5"/>
        <v>#DIV/0!</v>
      </c>
      <c r="K65" s="39">
        <f t="shared" si="6"/>
        <v>0</v>
      </c>
      <c r="L65" s="39" t="e">
        <f t="shared" si="7"/>
        <v>#DIV/0!</v>
      </c>
    </row>
    <row r="66" spans="1:12" ht="15.75" hidden="1" thickBot="1" x14ac:dyDescent="0.3">
      <c r="A66" s="35">
        <v>102</v>
      </c>
      <c r="B66" s="35">
        <v>3128</v>
      </c>
      <c r="C66" s="35" t="s">
        <v>278</v>
      </c>
      <c r="D66" s="35">
        <v>1</v>
      </c>
      <c r="E66" s="35">
        <v>0</v>
      </c>
      <c r="G66" s="34"/>
      <c r="H66" s="39"/>
      <c r="I66" s="39">
        <f t="shared" ref="I66:I97" si="8">SUMIF(B:B,G66,D:D)</f>
        <v>0</v>
      </c>
      <c r="J66" s="39" t="e">
        <f t="shared" ref="J66:J97" si="9">I66/H66</f>
        <v>#DIV/0!</v>
      </c>
      <c r="K66" s="39">
        <f t="shared" ref="K66:K97" si="10">SUMIF(B:B,G66,E:E)</f>
        <v>0</v>
      </c>
      <c r="L66" s="39" t="e">
        <f t="shared" ref="L66:L97" si="11">K66/H66</f>
        <v>#DIV/0!</v>
      </c>
    </row>
    <row r="67" spans="1:12" ht="15.75" hidden="1" thickBot="1" x14ac:dyDescent="0.3">
      <c r="A67" s="34">
        <v>104</v>
      </c>
      <c r="B67" s="34">
        <v>968</v>
      </c>
      <c r="C67" s="34" t="s">
        <v>278</v>
      </c>
      <c r="D67" s="34">
        <v>1</v>
      </c>
      <c r="E67" s="34">
        <v>0</v>
      </c>
      <c r="G67" s="35"/>
      <c r="H67" s="39"/>
      <c r="I67" s="39">
        <f t="shared" si="8"/>
        <v>0</v>
      </c>
      <c r="J67" s="39" t="e">
        <f t="shared" si="9"/>
        <v>#DIV/0!</v>
      </c>
      <c r="K67" s="39">
        <f t="shared" si="10"/>
        <v>0</v>
      </c>
      <c r="L67" s="39" t="e">
        <f t="shared" si="11"/>
        <v>#DIV/0!</v>
      </c>
    </row>
    <row r="68" spans="1:12" ht="15.75" hidden="1" thickBot="1" x14ac:dyDescent="0.3">
      <c r="A68" s="35">
        <v>105</v>
      </c>
      <c r="B68" s="35">
        <v>3501</v>
      </c>
      <c r="C68" s="35" t="s">
        <v>278</v>
      </c>
      <c r="D68" s="35">
        <v>1</v>
      </c>
      <c r="E68" s="35">
        <v>0</v>
      </c>
      <c r="G68" s="35"/>
      <c r="H68" s="39"/>
      <c r="I68" s="39">
        <f t="shared" si="8"/>
        <v>0</v>
      </c>
      <c r="J68" s="39" t="e">
        <f t="shared" si="9"/>
        <v>#DIV/0!</v>
      </c>
      <c r="K68" s="39">
        <f t="shared" si="10"/>
        <v>0</v>
      </c>
      <c r="L68" s="39" t="e">
        <f t="shared" si="11"/>
        <v>#DIV/0!</v>
      </c>
    </row>
    <row r="69" spans="1:12" ht="15.75" hidden="1" thickBot="1" x14ac:dyDescent="0.3">
      <c r="A69" s="34">
        <v>106</v>
      </c>
      <c r="B69" s="34">
        <v>2905</v>
      </c>
      <c r="C69" s="34" t="s">
        <v>278</v>
      </c>
      <c r="D69" s="34">
        <v>1</v>
      </c>
      <c r="E69" s="34">
        <v>0</v>
      </c>
      <c r="G69" s="34"/>
      <c r="H69" s="39"/>
      <c r="I69" s="39">
        <f t="shared" si="8"/>
        <v>0</v>
      </c>
      <c r="J69" s="39" t="e">
        <f t="shared" si="9"/>
        <v>#DIV/0!</v>
      </c>
      <c r="K69" s="39">
        <f t="shared" si="10"/>
        <v>0</v>
      </c>
      <c r="L69" s="39" t="e">
        <f t="shared" si="11"/>
        <v>#DIV/0!</v>
      </c>
    </row>
    <row r="70" spans="1:12" ht="15.75" hidden="1" thickBot="1" x14ac:dyDescent="0.3">
      <c r="A70" s="35">
        <v>107</v>
      </c>
      <c r="B70" s="35">
        <v>4061</v>
      </c>
      <c r="C70" s="35" t="s">
        <v>278</v>
      </c>
      <c r="D70" s="35">
        <v>1</v>
      </c>
      <c r="E70" s="35">
        <v>0</v>
      </c>
      <c r="G70" s="35"/>
      <c r="H70" s="39"/>
      <c r="I70" s="39">
        <f t="shared" si="8"/>
        <v>0</v>
      </c>
      <c r="J70" s="39" t="e">
        <f t="shared" si="9"/>
        <v>#DIV/0!</v>
      </c>
      <c r="K70" s="39">
        <f t="shared" si="10"/>
        <v>0</v>
      </c>
      <c r="L70" s="39" t="e">
        <f t="shared" si="11"/>
        <v>#DIV/0!</v>
      </c>
    </row>
    <row r="71" spans="1:12" ht="15.75" hidden="1" thickBot="1" x14ac:dyDescent="0.3">
      <c r="A71" s="34">
        <v>108</v>
      </c>
      <c r="B71" s="34">
        <v>624</v>
      </c>
      <c r="C71" s="34" t="s">
        <v>278</v>
      </c>
      <c r="D71" s="34">
        <v>1</v>
      </c>
      <c r="E71" s="34">
        <v>0</v>
      </c>
      <c r="G71" s="34"/>
      <c r="H71" s="39"/>
      <c r="I71" s="39">
        <f t="shared" si="8"/>
        <v>0</v>
      </c>
      <c r="J71" s="39" t="e">
        <f t="shared" si="9"/>
        <v>#DIV/0!</v>
      </c>
      <c r="K71" s="39">
        <f t="shared" si="10"/>
        <v>0</v>
      </c>
      <c r="L71" s="39" t="e">
        <f t="shared" si="11"/>
        <v>#DIV/0!</v>
      </c>
    </row>
    <row r="72" spans="1:12" ht="15.75" hidden="1" thickBot="1" x14ac:dyDescent="0.3">
      <c r="A72" s="35">
        <v>108</v>
      </c>
      <c r="B72" s="35">
        <v>5199</v>
      </c>
      <c r="C72" s="35" t="s">
        <v>278</v>
      </c>
      <c r="D72" s="35">
        <v>1</v>
      </c>
      <c r="E72" s="35">
        <v>0</v>
      </c>
      <c r="G72" s="34"/>
      <c r="H72" s="39"/>
      <c r="I72" s="39">
        <f t="shared" si="8"/>
        <v>0</v>
      </c>
      <c r="J72" s="39" t="e">
        <f t="shared" si="9"/>
        <v>#DIV/0!</v>
      </c>
      <c r="K72" s="39">
        <f t="shared" si="10"/>
        <v>0</v>
      </c>
      <c r="L72" s="39" t="e">
        <f t="shared" si="11"/>
        <v>#DIV/0!</v>
      </c>
    </row>
    <row r="73" spans="1:12" ht="15.75" hidden="1" thickBot="1" x14ac:dyDescent="0.3">
      <c r="A73" s="34">
        <v>109</v>
      </c>
      <c r="B73" s="34">
        <v>3140</v>
      </c>
      <c r="C73" s="34" t="s">
        <v>278</v>
      </c>
      <c r="D73" s="34">
        <v>1</v>
      </c>
      <c r="E73" s="34">
        <v>1</v>
      </c>
      <c r="G73" s="34"/>
      <c r="H73" s="39"/>
      <c r="I73" s="39">
        <f t="shared" si="8"/>
        <v>0</v>
      </c>
      <c r="J73" s="39" t="e">
        <f t="shared" si="9"/>
        <v>#DIV/0!</v>
      </c>
      <c r="K73" s="39">
        <f t="shared" si="10"/>
        <v>0</v>
      </c>
      <c r="L73" s="39" t="e">
        <f t="shared" si="11"/>
        <v>#DIV/0!</v>
      </c>
    </row>
    <row r="74" spans="1:12" ht="15.75" hidden="1" thickBot="1" x14ac:dyDescent="0.3">
      <c r="A74" s="35">
        <v>109</v>
      </c>
      <c r="B74" s="35">
        <v>5663</v>
      </c>
      <c r="C74" s="35" t="s">
        <v>278</v>
      </c>
      <c r="D74" s="35">
        <v>1</v>
      </c>
      <c r="E74" s="35">
        <v>0</v>
      </c>
      <c r="G74" s="34"/>
      <c r="H74" s="39"/>
      <c r="I74" s="39">
        <f t="shared" si="8"/>
        <v>0</v>
      </c>
      <c r="J74" s="39" t="e">
        <f t="shared" si="9"/>
        <v>#DIV/0!</v>
      </c>
      <c r="K74" s="39">
        <f t="shared" si="10"/>
        <v>0</v>
      </c>
      <c r="L74" s="39" t="e">
        <f t="shared" si="11"/>
        <v>#DIV/0!</v>
      </c>
    </row>
    <row r="75" spans="1:12" ht="15.75" hidden="1" thickBot="1" x14ac:dyDescent="0.3">
      <c r="A75" s="34">
        <v>111</v>
      </c>
      <c r="B75" s="34">
        <v>1011</v>
      </c>
      <c r="C75" s="34" t="s">
        <v>278</v>
      </c>
      <c r="D75" s="34">
        <v>1</v>
      </c>
      <c r="E75" s="34">
        <v>1</v>
      </c>
      <c r="G75" s="34"/>
      <c r="H75" s="39"/>
      <c r="I75" s="39">
        <f t="shared" si="8"/>
        <v>0</v>
      </c>
      <c r="J75" s="39" t="e">
        <f t="shared" si="9"/>
        <v>#DIV/0!</v>
      </c>
      <c r="K75" s="39">
        <f t="shared" si="10"/>
        <v>0</v>
      </c>
      <c r="L75" s="39" t="e">
        <f t="shared" si="11"/>
        <v>#DIV/0!</v>
      </c>
    </row>
    <row r="76" spans="1:12" ht="15.75" hidden="1" thickBot="1" x14ac:dyDescent="0.3">
      <c r="A76" s="35">
        <v>112</v>
      </c>
      <c r="B76" s="35">
        <v>1982</v>
      </c>
      <c r="C76" s="35" t="s">
        <v>278</v>
      </c>
      <c r="D76" s="35">
        <v>1</v>
      </c>
      <c r="E76" s="35">
        <v>0</v>
      </c>
      <c r="G76" s="35"/>
      <c r="H76" s="39"/>
      <c r="I76" s="39">
        <f t="shared" si="8"/>
        <v>0</v>
      </c>
      <c r="J76" s="39" t="e">
        <f t="shared" si="9"/>
        <v>#DIV/0!</v>
      </c>
      <c r="K76" s="39">
        <f t="shared" si="10"/>
        <v>0</v>
      </c>
      <c r="L76" s="39" t="e">
        <f t="shared" si="11"/>
        <v>#DIV/0!</v>
      </c>
    </row>
    <row r="77" spans="1:12" ht="15.75" hidden="1" thickBot="1" x14ac:dyDescent="0.3">
      <c r="A77" s="34">
        <v>98</v>
      </c>
      <c r="B77" s="34">
        <v>1619</v>
      </c>
      <c r="C77" s="34" t="s">
        <v>278</v>
      </c>
      <c r="D77" s="34">
        <v>1</v>
      </c>
      <c r="E77" s="34">
        <v>0</v>
      </c>
      <c r="G77" s="34"/>
      <c r="H77" s="39"/>
      <c r="I77" s="39">
        <f t="shared" si="8"/>
        <v>0</v>
      </c>
      <c r="J77" s="39" t="e">
        <f t="shared" si="9"/>
        <v>#DIV/0!</v>
      </c>
      <c r="K77" s="39">
        <f t="shared" si="10"/>
        <v>0</v>
      </c>
      <c r="L77" s="39" t="e">
        <f t="shared" si="11"/>
        <v>#DIV/0!</v>
      </c>
    </row>
    <row r="78" spans="1:12" ht="15.75" hidden="1" thickBot="1" x14ac:dyDescent="0.3">
      <c r="A78" s="35">
        <v>96</v>
      </c>
      <c r="B78" s="35">
        <v>6474</v>
      </c>
      <c r="C78" s="35" t="s">
        <v>278</v>
      </c>
      <c r="D78" s="35">
        <v>1</v>
      </c>
      <c r="E78" s="35">
        <v>0</v>
      </c>
      <c r="G78" s="35"/>
      <c r="H78" s="39"/>
      <c r="I78" s="39">
        <f t="shared" si="8"/>
        <v>0</v>
      </c>
      <c r="J78" s="39" t="e">
        <f t="shared" si="9"/>
        <v>#DIV/0!</v>
      </c>
      <c r="K78" s="39">
        <f t="shared" si="10"/>
        <v>0</v>
      </c>
      <c r="L78" s="39" t="e">
        <f t="shared" si="11"/>
        <v>#DIV/0!</v>
      </c>
    </row>
    <row r="79" spans="1:12" ht="15.75" hidden="1" thickBot="1" x14ac:dyDescent="0.3">
      <c r="A79" s="34">
        <v>85</v>
      </c>
      <c r="B79" s="34">
        <v>5654</v>
      </c>
      <c r="C79" s="34" t="s">
        <v>278</v>
      </c>
      <c r="D79" s="34">
        <v>1</v>
      </c>
      <c r="E79" s="34">
        <v>0</v>
      </c>
      <c r="G79" s="34"/>
      <c r="H79" s="39"/>
      <c r="I79" s="39">
        <f t="shared" si="8"/>
        <v>0</v>
      </c>
      <c r="J79" s="39" t="e">
        <f t="shared" si="9"/>
        <v>#DIV/0!</v>
      </c>
      <c r="K79" s="39">
        <f t="shared" si="10"/>
        <v>0</v>
      </c>
      <c r="L79" s="39" t="e">
        <f t="shared" si="11"/>
        <v>#DIV/0!</v>
      </c>
    </row>
    <row r="80" spans="1:12" ht="15.75" hidden="1" thickBot="1" x14ac:dyDescent="0.3">
      <c r="A80" s="35">
        <v>86</v>
      </c>
      <c r="B80" s="35">
        <v>6510</v>
      </c>
      <c r="C80" s="35" t="s">
        <v>278</v>
      </c>
      <c r="D80" s="35">
        <v>1</v>
      </c>
      <c r="E80" s="35">
        <v>0</v>
      </c>
      <c r="G80" s="34"/>
      <c r="H80" s="39"/>
      <c r="I80" s="39">
        <f t="shared" si="8"/>
        <v>0</v>
      </c>
      <c r="J80" s="39" t="e">
        <f t="shared" si="9"/>
        <v>#DIV/0!</v>
      </c>
      <c r="K80" s="39">
        <f t="shared" si="10"/>
        <v>0</v>
      </c>
      <c r="L80" s="39" t="e">
        <f t="shared" si="11"/>
        <v>#DIV/0!</v>
      </c>
    </row>
    <row r="81" spans="1:12" ht="15.75" hidden="1" thickBot="1" x14ac:dyDescent="0.3">
      <c r="A81" s="34">
        <v>87</v>
      </c>
      <c r="B81" s="34">
        <v>4468</v>
      </c>
      <c r="C81" s="34" t="s">
        <v>278</v>
      </c>
      <c r="D81" s="34">
        <v>1</v>
      </c>
      <c r="E81" s="34">
        <v>0</v>
      </c>
      <c r="G81" s="34"/>
      <c r="H81" s="39"/>
      <c r="I81" s="39">
        <f t="shared" si="8"/>
        <v>0</v>
      </c>
      <c r="J81" s="39" t="e">
        <f t="shared" si="9"/>
        <v>#DIV/0!</v>
      </c>
      <c r="K81" s="39">
        <f t="shared" si="10"/>
        <v>0</v>
      </c>
      <c r="L81" s="39" t="e">
        <f t="shared" si="11"/>
        <v>#DIV/0!</v>
      </c>
    </row>
    <row r="82" spans="1:12" ht="15.75" hidden="1" thickBot="1" x14ac:dyDescent="0.3">
      <c r="A82" s="35">
        <v>88</v>
      </c>
      <c r="B82" s="35">
        <v>2367</v>
      </c>
      <c r="C82" s="35" t="s">
        <v>278</v>
      </c>
      <c r="D82" s="35">
        <v>1</v>
      </c>
      <c r="E82" s="35">
        <v>0</v>
      </c>
      <c r="G82" s="34"/>
      <c r="H82" s="39"/>
      <c r="I82" s="39">
        <f t="shared" si="8"/>
        <v>0</v>
      </c>
      <c r="J82" s="39" t="e">
        <f t="shared" si="9"/>
        <v>#DIV/0!</v>
      </c>
      <c r="K82" s="39">
        <f t="shared" si="10"/>
        <v>0</v>
      </c>
      <c r="L82" s="39" t="e">
        <f t="shared" si="11"/>
        <v>#DIV/0!</v>
      </c>
    </row>
    <row r="83" spans="1:12" ht="15.75" hidden="1" thickBot="1" x14ac:dyDescent="0.3">
      <c r="A83" s="34">
        <v>89</v>
      </c>
      <c r="B83" s="34">
        <v>1619</v>
      </c>
      <c r="C83" s="34" t="s">
        <v>278</v>
      </c>
      <c r="D83" s="34">
        <v>1</v>
      </c>
      <c r="E83" s="34">
        <v>0</v>
      </c>
      <c r="G83" s="34"/>
      <c r="H83" s="39"/>
      <c r="I83" s="39">
        <f t="shared" si="8"/>
        <v>0</v>
      </c>
      <c r="J83" s="39" t="e">
        <f t="shared" si="9"/>
        <v>#DIV/0!</v>
      </c>
      <c r="K83" s="39">
        <f t="shared" si="10"/>
        <v>0</v>
      </c>
      <c r="L83" s="39" t="e">
        <f t="shared" si="11"/>
        <v>#DIV/0!</v>
      </c>
    </row>
    <row r="84" spans="1:12" ht="15.75" hidden="1" thickBot="1" x14ac:dyDescent="0.3">
      <c r="A84" s="35">
        <v>89</v>
      </c>
      <c r="B84" s="35">
        <v>1723</v>
      </c>
      <c r="C84" s="35" t="s">
        <v>278</v>
      </c>
      <c r="D84" s="35">
        <v>1</v>
      </c>
      <c r="E84" s="35">
        <v>0</v>
      </c>
      <c r="G84" s="35"/>
      <c r="H84" s="39"/>
      <c r="I84" s="39">
        <f t="shared" si="8"/>
        <v>0</v>
      </c>
      <c r="J84" s="39" t="e">
        <f t="shared" si="9"/>
        <v>#DIV/0!</v>
      </c>
      <c r="K84" s="39">
        <f t="shared" si="10"/>
        <v>0</v>
      </c>
      <c r="L84" s="39" t="e">
        <f t="shared" si="11"/>
        <v>#DIV/0!</v>
      </c>
    </row>
    <row r="85" spans="1:12" ht="15.75" hidden="1" thickBot="1" x14ac:dyDescent="0.3">
      <c r="A85" s="34">
        <v>90</v>
      </c>
      <c r="B85" s="34">
        <v>5663</v>
      </c>
      <c r="C85" s="34" t="s">
        <v>278</v>
      </c>
      <c r="D85" s="34">
        <v>1</v>
      </c>
      <c r="E85" s="34">
        <v>0</v>
      </c>
      <c r="G85" s="35"/>
      <c r="H85" s="39"/>
      <c r="I85" s="39">
        <f t="shared" si="8"/>
        <v>0</v>
      </c>
      <c r="J85" s="39" t="e">
        <f t="shared" si="9"/>
        <v>#DIV/0!</v>
      </c>
      <c r="K85" s="39">
        <f t="shared" si="10"/>
        <v>0</v>
      </c>
      <c r="L85" s="39" t="e">
        <f t="shared" si="11"/>
        <v>#DIV/0!</v>
      </c>
    </row>
    <row r="86" spans="1:12" ht="15.75" hidden="1" thickBot="1" x14ac:dyDescent="0.3">
      <c r="A86" s="35">
        <v>91</v>
      </c>
      <c r="B86" s="35">
        <v>1251</v>
      </c>
      <c r="C86" s="35" t="s">
        <v>278</v>
      </c>
      <c r="D86" s="35">
        <v>1</v>
      </c>
      <c r="E86" s="35">
        <v>1</v>
      </c>
      <c r="G86" s="34"/>
      <c r="H86" s="39"/>
      <c r="I86" s="39">
        <f t="shared" si="8"/>
        <v>0</v>
      </c>
      <c r="J86" s="39" t="e">
        <f t="shared" si="9"/>
        <v>#DIV/0!</v>
      </c>
      <c r="K86" s="39">
        <f t="shared" si="10"/>
        <v>0</v>
      </c>
      <c r="L86" s="39" t="e">
        <f t="shared" si="11"/>
        <v>#DIV/0!</v>
      </c>
    </row>
    <row r="87" spans="1:12" ht="15.75" hidden="1" thickBot="1" x14ac:dyDescent="0.3">
      <c r="A87" s="34">
        <v>91</v>
      </c>
      <c r="B87" s="34">
        <v>5654</v>
      </c>
      <c r="C87" s="34" t="s">
        <v>278</v>
      </c>
      <c r="D87" s="34">
        <v>1</v>
      </c>
      <c r="E87" s="34">
        <v>0</v>
      </c>
      <c r="G87" s="35"/>
      <c r="H87" s="39"/>
      <c r="I87" s="39">
        <f t="shared" si="8"/>
        <v>0</v>
      </c>
      <c r="J87" s="39" t="e">
        <f t="shared" si="9"/>
        <v>#DIV/0!</v>
      </c>
      <c r="K87" s="39">
        <f t="shared" si="10"/>
        <v>0</v>
      </c>
      <c r="L87" s="39" t="e">
        <f t="shared" si="11"/>
        <v>#DIV/0!</v>
      </c>
    </row>
    <row r="88" spans="1:12" ht="15.75" hidden="1" thickBot="1" x14ac:dyDescent="0.3">
      <c r="A88" s="35">
        <v>92</v>
      </c>
      <c r="B88" s="35">
        <v>604</v>
      </c>
      <c r="C88" s="35" t="s">
        <v>278</v>
      </c>
      <c r="D88" s="35">
        <v>1</v>
      </c>
      <c r="E88" s="35">
        <v>0</v>
      </c>
      <c r="G88" s="35"/>
      <c r="H88" s="39"/>
      <c r="I88" s="39">
        <f t="shared" si="8"/>
        <v>0</v>
      </c>
      <c r="J88" s="39" t="e">
        <f t="shared" si="9"/>
        <v>#DIV/0!</v>
      </c>
      <c r="K88" s="39">
        <f t="shared" si="10"/>
        <v>0</v>
      </c>
      <c r="L88" s="39" t="e">
        <f t="shared" si="11"/>
        <v>#DIV/0!</v>
      </c>
    </row>
    <row r="89" spans="1:12" ht="15.75" hidden="1" thickBot="1" x14ac:dyDescent="0.3">
      <c r="A89" s="34">
        <v>92</v>
      </c>
      <c r="B89" s="34">
        <v>3128</v>
      </c>
      <c r="C89" s="34" t="s">
        <v>278</v>
      </c>
      <c r="D89" s="34">
        <v>1</v>
      </c>
      <c r="E89" s="34">
        <v>0</v>
      </c>
      <c r="G89" s="34"/>
      <c r="H89" s="39"/>
      <c r="I89" s="39">
        <f t="shared" si="8"/>
        <v>0</v>
      </c>
      <c r="J89" s="39" t="e">
        <f t="shared" si="9"/>
        <v>#DIV/0!</v>
      </c>
      <c r="K89" s="39">
        <f t="shared" si="10"/>
        <v>0</v>
      </c>
      <c r="L89" s="39" t="e">
        <f t="shared" si="11"/>
        <v>#DIV/0!</v>
      </c>
    </row>
    <row r="90" spans="1:12" ht="15.75" hidden="1" thickBot="1" x14ac:dyDescent="0.3">
      <c r="A90" s="35">
        <v>93</v>
      </c>
      <c r="B90" s="35">
        <v>6508</v>
      </c>
      <c r="C90" s="35" t="s">
        <v>278</v>
      </c>
      <c r="D90" s="35">
        <v>1</v>
      </c>
      <c r="E90" s="35">
        <v>0</v>
      </c>
      <c r="G90" s="35"/>
      <c r="H90" s="39"/>
      <c r="I90" s="39">
        <f t="shared" si="8"/>
        <v>0</v>
      </c>
      <c r="J90" s="39" t="e">
        <f t="shared" si="9"/>
        <v>#DIV/0!</v>
      </c>
      <c r="K90" s="39">
        <f t="shared" si="10"/>
        <v>0</v>
      </c>
      <c r="L90" s="39" t="e">
        <f t="shared" si="11"/>
        <v>#DIV/0!</v>
      </c>
    </row>
    <row r="91" spans="1:12" ht="15.75" hidden="1" thickBot="1" x14ac:dyDescent="0.3">
      <c r="A91" s="34">
        <v>94</v>
      </c>
      <c r="B91" s="34">
        <v>4061</v>
      </c>
      <c r="C91" s="34" t="s">
        <v>278</v>
      </c>
      <c r="D91" s="34">
        <v>1</v>
      </c>
      <c r="E91" s="34">
        <v>0</v>
      </c>
      <c r="G91" s="34"/>
      <c r="H91" s="39"/>
      <c r="I91" s="39">
        <f t="shared" si="8"/>
        <v>0</v>
      </c>
      <c r="J91" s="39" t="e">
        <f t="shared" si="9"/>
        <v>#DIV/0!</v>
      </c>
      <c r="K91" s="39">
        <f t="shared" si="10"/>
        <v>0</v>
      </c>
      <c r="L91" s="39" t="e">
        <f t="shared" si="11"/>
        <v>#DIV/0!</v>
      </c>
    </row>
    <row r="92" spans="1:12" ht="15.75" hidden="1" thickBot="1" x14ac:dyDescent="0.3">
      <c r="A92" s="35">
        <v>94</v>
      </c>
      <c r="B92" s="35">
        <v>6377</v>
      </c>
      <c r="C92" s="35" t="s">
        <v>278</v>
      </c>
      <c r="D92" s="35">
        <v>1</v>
      </c>
      <c r="E92" s="35">
        <v>0</v>
      </c>
      <c r="G92" s="34"/>
      <c r="H92" s="39"/>
      <c r="I92" s="39">
        <f t="shared" si="8"/>
        <v>0</v>
      </c>
      <c r="J92" s="39" t="e">
        <f t="shared" si="9"/>
        <v>#DIV/0!</v>
      </c>
      <c r="K92" s="39">
        <f t="shared" si="10"/>
        <v>0</v>
      </c>
      <c r="L92" s="39" t="e">
        <f t="shared" si="11"/>
        <v>#DIV/0!</v>
      </c>
    </row>
    <row r="93" spans="1:12" ht="15.75" hidden="1" thickBot="1" x14ac:dyDescent="0.3">
      <c r="A93" s="34">
        <v>95</v>
      </c>
      <c r="B93" s="34">
        <v>2403</v>
      </c>
      <c r="C93" s="34" t="s">
        <v>278</v>
      </c>
      <c r="D93" s="34">
        <v>1</v>
      </c>
      <c r="E93" s="34">
        <v>1</v>
      </c>
      <c r="G93" s="35"/>
      <c r="H93" s="39"/>
      <c r="I93" s="39">
        <f t="shared" si="8"/>
        <v>0</v>
      </c>
      <c r="J93" s="39" t="e">
        <f t="shared" si="9"/>
        <v>#DIV/0!</v>
      </c>
      <c r="K93" s="39">
        <f t="shared" si="10"/>
        <v>0</v>
      </c>
      <c r="L93" s="39" t="e">
        <f t="shared" si="11"/>
        <v>#DIV/0!</v>
      </c>
    </row>
    <row r="94" spans="1:12" ht="15.75" hidden="1" thickBot="1" x14ac:dyDescent="0.3">
      <c r="A94" s="35">
        <v>95</v>
      </c>
      <c r="B94" s="35">
        <v>3501</v>
      </c>
      <c r="C94" s="35" t="s">
        <v>278</v>
      </c>
      <c r="D94" s="35">
        <v>1</v>
      </c>
      <c r="E94" s="35">
        <v>0</v>
      </c>
      <c r="G94" s="34"/>
      <c r="H94" s="39"/>
      <c r="I94" s="39">
        <f t="shared" si="8"/>
        <v>0</v>
      </c>
      <c r="J94" s="39" t="e">
        <f t="shared" si="9"/>
        <v>#DIV/0!</v>
      </c>
      <c r="K94" s="39">
        <f t="shared" si="10"/>
        <v>0</v>
      </c>
      <c r="L94" s="39" t="e">
        <f t="shared" si="11"/>
        <v>#DIV/0!</v>
      </c>
    </row>
    <row r="95" spans="1:12" ht="15.75" hidden="1" thickBot="1" x14ac:dyDescent="0.3">
      <c r="A95" s="34">
        <v>96</v>
      </c>
      <c r="B95" s="34">
        <v>1982</v>
      </c>
      <c r="C95" s="34" t="s">
        <v>278</v>
      </c>
      <c r="D95" s="34">
        <v>1</v>
      </c>
      <c r="E95" s="34">
        <v>0</v>
      </c>
      <c r="G95" s="35"/>
      <c r="H95" s="39"/>
      <c r="I95" s="39">
        <f t="shared" si="8"/>
        <v>0</v>
      </c>
      <c r="J95" s="39" t="e">
        <f t="shared" si="9"/>
        <v>#DIV/0!</v>
      </c>
      <c r="K95" s="39">
        <f t="shared" si="10"/>
        <v>0</v>
      </c>
      <c r="L95" s="39" t="e">
        <f t="shared" si="11"/>
        <v>#DIV/0!</v>
      </c>
    </row>
    <row r="96" spans="1:12" ht="15.75" hidden="1" thickBot="1" x14ac:dyDescent="0.3">
      <c r="A96" s="35">
        <v>88</v>
      </c>
      <c r="B96" s="35">
        <v>1648</v>
      </c>
      <c r="C96" s="35" t="s">
        <v>278</v>
      </c>
      <c r="D96" s="35">
        <v>1</v>
      </c>
      <c r="E96" s="35">
        <v>0</v>
      </c>
      <c r="G96" s="34"/>
      <c r="H96" s="39"/>
      <c r="I96" s="39">
        <f t="shared" si="8"/>
        <v>0</v>
      </c>
      <c r="J96" s="39" t="e">
        <f t="shared" si="9"/>
        <v>#DIV/0!</v>
      </c>
      <c r="K96" s="39">
        <f t="shared" si="10"/>
        <v>0</v>
      </c>
      <c r="L96" s="39" t="e">
        <f t="shared" si="11"/>
        <v>#DIV/0!</v>
      </c>
    </row>
    <row r="97" spans="1:12" ht="15.75" hidden="1" thickBot="1" x14ac:dyDescent="0.3">
      <c r="A97" s="34">
        <v>64</v>
      </c>
      <c r="B97" s="34">
        <v>3501</v>
      </c>
      <c r="C97" s="34" t="s">
        <v>278</v>
      </c>
      <c r="D97" s="34">
        <v>1</v>
      </c>
      <c r="E97" s="34">
        <v>0</v>
      </c>
      <c r="G97" s="34"/>
      <c r="H97" s="39"/>
      <c r="I97" s="39">
        <f t="shared" si="8"/>
        <v>0</v>
      </c>
      <c r="J97" s="39" t="e">
        <f t="shared" si="9"/>
        <v>#DIV/0!</v>
      </c>
      <c r="K97" s="39">
        <f t="shared" si="10"/>
        <v>0</v>
      </c>
      <c r="L97" s="39" t="e">
        <f t="shared" si="11"/>
        <v>#DIV/0!</v>
      </c>
    </row>
    <row r="98" spans="1:12" ht="15.75" hidden="1" thickBot="1" x14ac:dyDescent="0.3">
      <c r="A98" s="35">
        <v>1</v>
      </c>
      <c r="B98" s="35">
        <v>5654</v>
      </c>
      <c r="C98" s="35" t="s">
        <v>278</v>
      </c>
      <c r="D98" s="35">
        <v>1</v>
      </c>
      <c r="E98" s="35">
        <v>0</v>
      </c>
      <c r="G98" s="35"/>
      <c r="H98" s="39"/>
      <c r="I98" s="39">
        <f t="shared" ref="I98:I129" si="12">SUMIF(B:B,G98,D:D)</f>
        <v>0</v>
      </c>
      <c r="J98" s="39" t="e">
        <f t="shared" ref="J98:J129" si="13">I98/H98</f>
        <v>#DIV/0!</v>
      </c>
      <c r="K98" s="39">
        <f t="shared" ref="K98:K129" si="14">SUMIF(B:B,G98,E:E)</f>
        <v>0</v>
      </c>
      <c r="L98" s="39" t="e">
        <f t="shared" ref="L98:L129" si="15">K98/H98</f>
        <v>#DIV/0!</v>
      </c>
    </row>
    <row r="99" spans="1:12" ht="15.75" hidden="1" thickBot="1" x14ac:dyDescent="0.3">
      <c r="A99" s="34">
        <v>19</v>
      </c>
      <c r="B99" s="34">
        <v>3164</v>
      </c>
      <c r="C99" s="34" t="s">
        <v>278</v>
      </c>
      <c r="D99" s="34">
        <v>1</v>
      </c>
      <c r="E99" s="34">
        <v>0</v>
      </c>
      <c r="G99" s="35"/>
      <c r="H99" s="39"/>
      <c r="I99" s="39">
        <f t="shared" si="12"/>
        <v>0</v>
      </c>
      <c r="J99" s="39" t="e">
        <f t="shared" si="13"/>
        <v>#DIV/0!</v>
      </c>
      <c r="K99" s="39">
        <f t="shared" si="14"/>
        <v>0</v>
      </c>
      <c r="L99" s="39" t="e">
        <f t="shared" si="15"/>
        <v>#DIV/0!</v>
      </c>
    </row>
    <row r="100" spans="1:12" ht="15.75" hidden="1" thickBot="1" x14ac:dyDescent="0.3">
      <c r="A100" s="35">
        <v>20</v>
      </c>
      <c r="B100" s="35">
        <v>6508</v>
      </c>
      <c r="C100" s="35" t="s">
        <v>278</v>
      </c>
      <c r="D100" s="35">
        <v>1</v>
      </c>
      <c r="E100" s="35">
        <v>0</v>
      </c>
      <c r="G100" s="34"/>
      <c r="H100" s="39"/>
      <c r="I100" s="39">
        <f t="shared" si="12"/>
        <v>0</v>
      </c>
      <c r="J100" s="39" t="e">
        <f t="shared" si="13"/>
        <v>#DIV/0!</v>
      </c>
      <c r="K100" s="39">
        <f t="shared" si="14"/>
        <v>0</v>
      </c>
      <c r="L100" s="39" t="e">
        <f t="shared" si="15"/>
        <v>#DIV/0!</v>
      </c>
    </row>
    <row r="101" spans="1:12" ht="15.75" hidden="1" thickBot="1" x14ac:dyDescent="0.3">
      <c r="A101" s="34">
        <v>20</v>
      </c>
      <c r="B101" s="34">
        <v>6510</v>
      </c>
      <c r="C101" s="34" t="s">
        <v>278</v>
      </c>
      <c r="D101" s="34">
        <v>1</v>
      </c>
      <c r="E101" s="34">
        <v>0</v>
      </c>
      <c r="G101" s="35"/>
      <c r="H101" s="39"/>
      <c r="I101" s="39">
        <f t="shared" si="12"/>
        <v>0</v>
      </c>
      <c r="J101" s="39" t="e">
        <f t="shared" si="13"/>
        <v>#DIV/0!</v>
      </c>
      <c r="K101" s="39">
        <f t="shared" si="14"/>
        <v>0</v>
      </c>
      <c r="L101" s="39" t="e">
        <f t="shared" si="15"/>
        <v>#DIV/0!</v>
      </c>
    </row>
    <row r="102" spans="1:12" ht="15.75" hidden="1" thickBot="1" x14ac:dyDescent="0.3">
      <c r="A102" s="35">
        <v>21</v>
      </c>
      <c r="B102" s="35">
        <v>624</v>
      </c>
      <c r="C102" s="35" t="s">
        <v>278</v>
      </c>
      <c r="D102" s="35">
        <v>1</v>
      </c>
      <c r="E102" s="35">
        <v>0</v>
      </c>
      <c r="G102" s="35"/>
      <c r="H102" s="39"/>
      <c r="I102" s="39">
        <f t="shared" si="12"/>
        <v>0</v>
      </c>
      <c r="J102" s="39" t="e">
        <f t="shared" si="13"/>
        <v>#DIV/0!</v>
      </c>
      <c r="K102" s="39">
        <f t="shared" si="14"/>
        <v>0</v>
      </c>
      <c r="L102" s="39" t="e">
        <f t="shared" si="15"/>
        <v>#DIV/0!</v>
      </c>
    </row>
    <row r="103" spans="1:12" ht="15.75" hidden="1" thickBot="1" x14ac:dyDescent="0.3">
      <c r="A103" s="34">
        <v>26</v>
      </c>
      <c r="B103" s="34">
        <v>1011</v>
      </c>
      <c r="C103" s="34" t="s">
        <v>278</v>
      </c>
      <c r="D103" s="34">
        <v>1</v>
      </c>
      <c r="E103" s="34">
        <v>0</v>
      </c>
      <c r="G103" s="35"/>
      <c r="H103" s="39"/>
      <c r="I103" s="39">
        <f t="shared" si="12"/>
        <v>0</v>
      </c>
      <c r="J103" s="39" t="e">
        <f t="shared" si="13"/>
        <v>#DIV/0!</v>
      </c>
      <c r="K103" s="39">
        <f t="shared" si="14"/>
        <v>0</v>
      </c>
      <c r="L103" s="39" t="e">
        <f t="shared" si="15"/>
        <v>#DIV/0!</v>
      </c>
    </row>
    <row r="104" spans="1:12" ht="15.75" hidden="1" thickBot="1" x14ac:dyDescent="0.3">
      <c r="A104" s="35">
        <v>27</v>
      </c>
      <c r="B104" s="35">
        <v>6510</v>
      </c>
      <c r="C104" s="35" t="s">
        <v>278</v>
      </c>
      <c r="D104" s="35">
        <v>1</v>
      </c>
      <c r="E104" s="35">
        <v>0</v>
      </c>
      <c r="G104" s="34"/>
      <c r="H104" s="39"/>
      <c r="I104" s="39">
        <f t="shared" si="12"/>
        <v>0</v>
      </c>
      <c r="J104" s="39" t="e">
        <f t="shared" si="13"/>
        <v>#DIV/0!</v>
      </c>
      <c r="K104" s="39">
        <f t="shared" si="14"/>
        <v>0</v>
      </c>
      <c r="L104" s="39" t="e">
        <f t="shared" si="15"/>
        <v>#DIV/0!</v>
      </c>
    </row>
    <row r="105" spans="1:12" ht="15.75" hidden="1" thickBot="1" x14ac:dyDescent="0.3">
      <c r="A105" s="34">
        <v>28</v>
      </c>
      <c r="B105" s="34">
        <v>5104</v>
      </c>
      <c r="C105" s="34" t="s">
        <v>278</v>
      </c>
      <c r="D105" s="34">
        <v>1</v>
      </c>
      <c r="E105" s="34">
        <v>0</v>
      </c>
      <c r="G105" s="34"/>
      <c r="H105" s="39"/>
      <c r="I105" s="39">
        <f t="shared" si="12"/>
        <v>0</v>
      </c>
      <c r="J105" s="39" t="e">
        <f t="shared" si="13"/>
        <v>#DIV/0!</v>
      </c>
      <c r="K105" s="39">
        <f t="shared" si="14"/>
        <v>0</v>
      </c>
      <c r="L105" s="39" t="e">
        <f t="shared" si="15"/>
        <v>#DIV/0!</v>
      </c>
    </row>
    <row r="106" spans="1:12" ht="15.75" hidden="1" thickBot="1" x14ac:dyDescent="0.3">
      <c r="A106" s="35">
        <v>28</v>
      </c>
      <c r="B106" s="35">
        <v>3481</v>
      </c>
      <c r="C106" s="35" t="s">
        <v>278</v>
      </c>
      <c r="D106" s="35">
        <v>1</v>
      </c>
      <c r="E106" s="35">
        <v>0</v>
      </c>
      <c r="G106" s="35"/>
      <c r="H106" s="39"/>
      <c r="I106" s="39">
        <f t="shared" si="12"/>
        <v>0</v>
      </c>
      <c r="J106" s="39" t="e">
        <f t="shared" si="13"/>
        <v>#DIV/0!</v>
      </c>
      <c r="K106" s="39">
        <f t="shared" si="14"/>
        <v>0</v>
      </c>
      <c r="L106" s="39" t="e">
        <f t="shared" si="15"/>
        <v>#DIV/0!</v>
      </c>
    </row>
    <row r="107" spans="1:12" ht="15.75" hidden="1" thickBot="1" x14ac:dyDescent="0.3">
      <c r="A107" s="34">
        <v>29</v>
      </c>
      <c r="B107" s="34">
        <v>968</v>
      </c>
      <c r="C107" s="34" t="s">
        <v>278</v>
      </c>
      <c r="D107" s="34">
        <v>1</v>
      </c>
      <c r="E107" s="34">
        <v>0</v>
      </c>
      <c r="G107" s="34"/>
      <c r="H107" s="39"/>
      <c r="I107" s="39">
        <f t="shared" si="12"/>
        <v>0</v>
      </c>
      <c r="J107" s="39" t="e">
        <f t="shared" si="13"/>
        <v>#DIV/0!</v>
      </c>
      <c r="K107" s="39">
        <f t="shared" si="14"/>
        <v>0</v>
      </c>
      <c r="L107" s="39" t="e">
        <f t="shared" si="15"/>
        <v>#DIV/0!</v>
      </c>
    </row>
    <row r="108" spans="1:12" ht="15.75" hidden="1" thickBot="1" x14ac:dyDescent="0.3">
      <c r="A108" s="35">
        <v>30</v>
      </c>
      <c r="B108" s="35">
        <v>6424</v>
      </c>
      <c r="C108" s="35" t="s">
        <v>278</v>
      </c>
      <c r="D108" s="35">
        <v>1</v>
      </c>
      <c r="E108" s="35">
        <v>0</v>
      </c>
      <c r="G108" s="35"/>
      <c r="H108" s="39"/>
      <c r="I108" s="39">
        <f t="shared" si="12"/>
        <v>0</v>
      </c>
      <c r="J108" s="39" t="e">
        <f t="shared" si="13"/>
        <v>#DIV/0!</v>
      </c>
      <c r="K108" s="39">
        <f t="shared" si="14"/>
        <v>0</v>
      </c>
      <c r="L108" s="39" t="e">
        <f t="shared" si="15"/>
        <v>#DIV/0!</v>
      </c>
    </row>
    <row r="109" spans="1:12" ht="15.75" hidden="1" thickBot="1" x14ac:dyDescent="0.3">
      <c r="A109" s="34">
        <v>24</v>
      </c>
      <c r="B109" s="34">
        <v>2367</v>
      </c>
      <c r="C109" s="34" t="s">
        <v>278</v>
      </c>
      <c r="D109" s="34">
        <v>1</v>
      </c>
      <c r="E109" s="34">
        <v>0</v>
      </c>
      <c r="G109" s="34"/>
      <c r="H109" s="39"/>
      <c r="I109" s="39">
        <f t="shared" si="12"/>
        <v>0</v>
      </c>
      <c r="J109" s="39" t="e">
        <f t="shared" si="13"/>
        <v>#DIV/0!</v>
      </c>
      <c r="K109" s="39">
        <f t="shared" si="14"/>
        <v>0</v>
      </c>
      <c r="L109" s="39" t="e">
        <f t="shared" si="15"/>
        <v>#DIV/0!</v>
      </c>
    </row>
    <row r="110" spans="1:12" ht="15.75" hidden="1" thickBot="1" x14ac:dyDescent="0.3">
      <c r="A110" s="35">
        <v>33</v>
      </c>
      <c r="B110" s="35">
        <v>5199</v>
      </c>
      <c r="C110" s="35" t="s">
        <v>278</v>
      </c>
      <c r="D110" s="35">
        <v>1</v>
      </c>
      <c r="E110" s="35">
        <v>0</v>
      </c>
      <c r="G110" s="35"/>
      <c r="H110" s="39"/>
      <c r="I110" s="39">
        <f t="shared" si="12"/>
        <v>0</v>
      </c>
      <c r="J110" s="39" t="e">
        <f t="shared" si="13"/>
        <v>#DIV/0!</v>
      </c>
      <c r="K110" s="39">
        <f t="shared" si="14"/>
        <v>0</v>
      </c>
      <c r="L110" s="39" t="e">
        <f t="shared" si="15"/>
        <v>#DIV/0!</v>
      </c>
    </row>
    <row r="111" spans="1:12" ht="15.75" hidden="1" thickBot="1" x14ac:dyDescent="0.3">
      <c r="A111" s="34">
        <v>34</v>
      </c>
      <c r="B111" s="34">
        <v>4061</v>
      </c>
      <c r="C111" s="34" t="s">
        <v>278</v>
      </c>
      <c r="D111" s="34">
        <v>1</v>
      </c>
      <c r="E111" s="34">
        <v>0</v>
      </c>
      <c r="G111" s="34"/>
      <c r="H111" s="39"/>
      <c r="I111" s="39">
        <f t="shared" si="12"/>
        <v>0</v>
      </c>
      <c r="J111" s="39" t="e">
        <f t="shared" si="13"/>
        <v>#DIV/0!</v>
      </c>
      <c r="K111" s="39">
        <f t="shared" si="14"/>
        <v>0</v>
      </c>
      <c r="L111" s="39" t="e">
        <f t="shared" si="15"/>
        <v>#DIV/0!</v>
      </c>
    </row>
    <row r="112" spans="1:12" ht="15.75" hidden="1" thickBot="1" x14ac:dyDescent="0.3">
      <c r="A112" s="35">
        <v>35</v>
      </c>
      <c r="B112" s="35">
        <v>624</v>
      </c>
      <c r="C112" s="35" t="s">
        <v>278</v>
      </c>
      <c r="D112" s="35">
        <v>1</v>
      </c>
      <c r="E112" s="35">
        <v>0</v>
      </c>
      <c r="G112" s="35"/>
      <c r="H112" s="39"/>
      <c r="I112" s="39">
        <f t="shared" si="12"/>
        <v>0</v>
      </c>
      <c r="J112" s="39" t="e">
        <f t="shared" si="13"/>
        <v>#DIV/0!</v>
      </c>
      <c r="K112" s="39">
        <f t="shared" si="14"/>
        <v>0</v>
      </c>
      <c r="L112" s="39" t="e">
        <f t="shared" si="15"/>
        <v>#DIV/0!</v>
      </c>
    </row>
    <row r="113" spans="1:12" ht="15.75" hidden="1" thickBot="1" x14ac:dyDescent="0.3">
      <c r="A113" s="34">
        <v>39</v>
      </c>
      <c r="B113" s="34">
        <v>4513</v>
      </c>
      <c r="C113" s="34" t="s">
        <v>278</v>
      </c>
      <c r="D113" s="34">
        <v>1</v>
      </c>
      <c r="E113" s="34">
        <v>0</v>
      </c>
      <c r="G113" s="35"/>
      <c r="H113" s="39"/>
      <c r="I113" s="39">
        <f t="shared" si="12"/>
        <v>0</v>
      </c>
      <c r="J113" s="39" t="e">
        <f t="shared" si="13"/>
        <v>#DIV/0!</v>
      </c>
      <c r="K113" s="39">
        <f t="shared" si="14"/>
        <v>0</v>
      </c>
      <c r="L113" s="39" t="e">
        <f t="shared" si="15"/>
        <v>#DIV/0!</v>
      </c>
    </row>
    <row r="114" spans="1:12" ht="15.75" hidden="1" thickBot="1" x14ac:dyDescent="0.3">
      <c r="A114" s="35">
        <v>17</v>
      </c>
      <c r="B114" s="35">
        <v>1011</v>
      </c>
      <c r="C114" s="35" t="s">
        <v>278</v>
      </c>
      <c r="D114" s="35">
        <v>1</v>
      </c>
      <c r="E114" s="35">
        <v>0</v>
      </c>
      <c r="G114" s="34"/>
      <c r="H114" s="39"/>
      <c r="I114" s="39">
        <f t="shared" si="12"/>
        <v>0</v>
      </c>
      <c r="J114" s="39" t="e">
        <f t="shared" si="13"/>
        <v>#DIV/0!</v>
      </c>
      <c r="K114" s="39">
        <f t="shared" si="14"/>
        <v>0</v>
      </c>
      <c r="L114" s="39" t="e">
        <f t="shared" si="15"/>
        <v>#DIV/0!</v>
      </c>
    </row>
    <row r="115" spans="1:12" ht="15.75" hidden="1" thickBot="1" x14ac:dyDescent="0.3">
      <c r="A115" s="34">
        <v>16</v>
      </c>
      <c r="B115" s="34">
        <v>4513</v>
      </c>
      <c r="C115" s="34" t="s">
        <v>278</v>
      </c>
      <c r="D115" s="34">
        <v>1</v>
      </c>
      <c r="E115" s="34">
        <v>0</v>
      </c>
      <c r="G115" s="35"/>
      <c r="H115" s="39"/>
      <c r="I115" s="39">
        <f t="shared" si="12"/>
        <v>0</v>
      </c>
      <c r="J115" s="39" t="e">
        <f t="shared" si="13"/>
        <v>#DIV/0!</v>
      </c>
      <c r="K115" s="39">
        <f t="shared" si="14"/>
        <v>0</v>
      </c>
      <c r="L115" s="39" t="e">
        <f t="shared" si="15"/>
        <v>#DIV/0!</v>
      </c>
    </row>
    <row r="116" spans="1:12" ht="15.75" hidden="1" thickBot="1" x14ac:dyDescent="0.3">
      <c r="A116" s="35">
        <v>4</v>
      </c>
      <c r="B116" s="35">
        <v>3501</v>
      </c>
      <c r="C116" s="35" t="s">
        <v>278</v>
      </c>
      <c r="D116" s="35">
        <v>1</v>
      </c>
      <c r="E116" s="35">
        <v>0</v>
      </c>
      <c r="G116" s="35"/>
      <c r="H116" s="39"/>
      <c r="I116" s="39">
        <f t="shared" si="12"/>
        <v>0</v>
      </c>
      <c r="J116" s="39" t="e">
        <f t="shared" si="13"/>
        <v>#DIV/0!</v>
      </c>
      <c r="K116" s="39">
        <f t="shared" si="14"/>
        <v>0</v>
      </c>
      <c r="L116" s="39" t="e">
        <f t="shared" si="15"/>
        <v>#DIV/0!</v>
      </c>
    </row>
    <row r="117" spans="1:12" ht="15.75" hidden="1" thickBot="1" x14ac:dyDescent="0.3">
      <c r="A117" s="34">
        <v>5</v>
      </c>
      <c r="B117" s="34">
        <v>3737</v>
      </c>
      <c r="C117" s="34" t="s">
        <v>278</v>
      </c>
      <c r="D117" s="34">
        <v>1</v>
      </c>
      <c r="E117" s="34">
        <v>0</v>
      </c>
      <c r="G117" s="35"/>
      <c r="H117" s="39"/>
      <c r="I117" s="39">
        <f t="shared" si="12"/>
        <v>0</v>
      </c>
      <c r="J117" s="39" t="e">
        <f t="shared" si="13"/>
        <v>#DIV/0!</v>
      </c>
      <c r="K117" s="39">
        <f t="shared" si="14"/>
        <v>0</v>
      </c>
      <c r="L117" s="39" t="e">
        <f t="shared" si="15"/>
        <v>#DIV/0!</v>
      </c>
    </row>
    <row r="118" spans="1:12" ht="15.75" hidden="1" thickBot="1" x14ac:dyDescent="0.3">
      <c r="A118" s="35">
        <v>5</v>
      </c>
      <c r="B118" s="35">
        <v>4513</v>
      </c>
      <c r="C118" s="35" t="s">
        <v>278</v>
      </c>
      <c r="D118" s="35">
        <v>1</v>
      </c>
      <c r="E118" s="35">
        <v>0</v>
      </c>
      <c r="G118" s="34"/>
      <c r="H118" s="39"/>
      <c r="I118" s="39">
        <f t="shared" si="12"/>
        <v>0</v>
      </c>
      <c r="J118" s="39" t="e">
        <f t="shared" si="13"/>
        <v>#DIV/0!</v>
      </c>
      <c r="K118" s="39">
        <f t="shared" si="14"/>
        <v>0</v>
      </c>
      <c r="L118" s="39" t="e">
        <f t="shared" si="15"/>
        <v>#DIV/0!</v>
      </c>
    </row>
    <row r="119" spans="1:12" ht="15.75" hidden="1" thickBot="1" x14ac:dyDescent="0.3">
      <c r="A119" s="34">
        <v>6</v>
      </c>
      <c r="B119" s="34">
        <v>3473</v>
      </c>
      <c r="C119" s="34" t="s">
        <v>278</v>
      </c>
      <c r="D119" s="34">
        <v>1</v>
      </c>
      <c r="E119" s="34">
        <v>0</v>
      </c>
      <c r="G119" s="34"/>
      <c r="H119" s="39"/>
      <c r="I119" s="39">
        <f t="shared" si="12"/>
        <v>0</v>
      </c>
      <c r="J119" s="39" t="e">
        <f t="shared" si="13"/>
        <v>#DIV/0!</v>
      </c>
      <c r="K119" s="39">
        <f t="shared" si="14"/>
        <v>0</v>
      </c>
      <c r="L119" s="39" t="e">
        <f t="shared" si="15"/>
        <v>#DIV/0!</v>
      </c>
    </row>
    <row r="120" spans="1:12" ht="15.75" hidden="1" thickBot="1" x14ac:dyDescent="0.3">
      <c r="A120" s="35">
        <v>7</v>
      </c>
      <c r="B120" s="35">
        <v>5554</v>
      </c>
      <c r="C120" s="35" t="s">
        <v>278</v>
      </c>
      <c r="D120" s="35">
        <v>1</v>
      </c>
      <c r="E120" s="35">
        <v>0</v>
      </c>
      <c r="G120" s="35"/>
      <c r="H120" s="39"/>
      <c r="I120" s="39">
        <f t="shared" si="12"/>
        <v>0</v>
      </c>
      <c r="J120" s="39" t="e">
        <f t="shared" si="13"/>
        <v>#DIV/0!</v>
      </c>
      <c r="K120" s="39">
        <f t="shared" si="14"/>
        <v>0</v>
      </c>
      <c r="L120" s="39" t="e">
        <f t="shared" si="15"/>
        <v>#DIV/0!</v>
      </c>
    </row>
    <row r="121" spans="1:12" ht="15.75" hidden="1" thickBot="1" x14ac:dyDescent="0.3">
      <c r="A121" s="34">
        <v>8</v>
      </c>
      <c r="B121" s="34">
        <v>118</v>
      </c>
      <c r="C121" s="34" t="s">
        <v>278</v>
      </c>
      <c r="D121" s="34">
        <v>1</v>
      </c>
      <c r="E121" s="34">
        <v>0</v>
      </c>
      <c r="G121" s="35"/>
      <c r="H121" s="39"/>
      <c r="I121" s="39">
        <f t="shared" si="12"/>
        <v>0</v>
      </c>
      <c r="J121" s="39" t="e">
        <f t="shared" si="13"/>
        <v>#DIV/0!</v>
      </c>
      <c r="K121" s="39">
        <f t="shared" si="14"/>
        <v>0</v>
      </c>
      <c r="L121" s="39" t="e">
        <f t="shared" si="15"/>
        <v>#DIV/0!</v>
      </c>
    </row>
    <row r="122" spans="1:12" ht="15.75" hidden="1" thickBot="1" x14ac:dyDescent="0.3">
      <c r="A122" s="35">
        <v>8</v>
      </c>
      <c r="B122" s="35">
        <v>6508</v>
      </c>
      <c r="C122" s="35" t="s">
        <v>278</v>
      </c>
      <c r="D122" s="35">
        <v>1</v>
      </c>
      <c r="E122" s="35">
        <v>0</v>
      </c>
      <c r="G122" s="35"/>
      <c r="H122" s="39"/>
      <c r="I122" s="39">
        <f t="shared" si="12"/>
        <v>0</v>
      </c>
      <c r="J122" s="39" t="e">
        <f t="shared" si="13"/>
        <v>#DIV/0!</v>
      </c>
      <c r="K122" s="39">
        <f t="shared" si="14"/>
        <v>0</v>
      </c>
      <c r="L122" s="39" t="e">
        <f t="shared" si="15"/>
        <v>#DIV/0!</v>
      </c>
    </row>
    <row r="123" spans="1:12" ht="15.75" hidden="1" thickBot="1" x14ac:dyDescent="0.3">
      <c r="A123" s="34">
        <v>9</v>
      </c>
      <c r="B123" s="34">
        <v>3481</v>
      </c>
      <c r="C123" s="34" t="s">
        <v>278</v>
      </c>
      <c r="D123" s="34">
        <v>1</v>
      </c>
      <c r="E123" s="34">
        <v>0</v>
      </c>
      <c r="G123" s="35"/>
      <c r="H123" s="39"/>
      <c r="I123" s="39">
        <f t="shared" si="12"/>
        <v>0</v>
      </c>
      <c r="J123" s="39" t="e">
        <f t="shared" si="13"/>
        <v>#DIV/0!</v>
      </c>
      <c r="K123" s="39">
        <f t="shared" si="14"/>
        <v>0</v>
      </c>
      <c r="L123" s="39" t="e">
        <f t="shared" si="15"/>
        <v>#DIV/0!</v>
      </c>
    </row>
    <row r="124" spans="1:12" ht="15.75" hidden="1" thickBot="1" x14ac:dyDescent="0.3">
      <c r="A124" s="35">
        <v>10</v>
      </c>
      <c r="B124" s="35">
        <v>4061</v>
      </c>
      <c r="C124" s="35" t="s">
        <v>278</v>
      </c>
      <c r="D124" s="35">
        <v>1</v>
      </c>
      <c r="E124" s="35">
        <v>0</v>
      </c>
      <c r="G124" s="34"/>
      <c r="H124" s="39"/>
      <c r="I124" s="39">
        <f t="shared" si="12"/>
        <v>0</v>
      </c>
      <c r="J124" s="39" t="e">
        <f t="shared" si="13"/>
        <v>#DIV/0!</v>
      </c>
      <c r="K124" s="39">
        <f t="shared" si="14"/>
        <v>0</v>
      </c>
      <c r="L124" s="39" t="e">
        <f t="shared" si="15"/>
        <v>#DIV/0!</v>
      </c>
    </row>
    <row r="125" spans="1:12" ht="15.75" hidden="1" thickBot="1" x14ac:dyDescent="0.3">
      <c r="A125" s="34">
        <v>11</v>
      </c>
      <c r="B125" s="34">
        <v>1868</v>
      </c>
      <c r="C125" s="34" t="s">
        <v>278</v>
      </c>
      <c r="D125" s="34">
        <v>1</v>
      </c>
      <c r="E125" s="34">
        <v>0</v>
      </c>
      <c r="G125" s="35"/>
      <c r="H125" s="39"/>
      <c r="I125" s="39">
        <f t="shared" si="12"/>
        <v>0</v>
      </c>
      <c r="J125" s="39" t="e">
        <f t="shared" si="13"/>
        <v>#DIV/0!</v>
      </c>
      <c r="K125" s="39">
        <f t="shared" si="14"/>
        <v>0</v>
      </c>
      <c r="L125" s="39" t="e">
        <f t="shared" si="15"/>
        <v>#DIV/0!</v>
      </c>
    </row>
    <row r="126" spans="1:12" ht="15.75" hidden="1" thickBot="1" x14ac:dyDescent="0.3">
      <c r="A126" s="35">
        <v>11</v>
      </c>
      <c r="B126" s="35">
        <v>5199</v>
      </c>
      <c r="C126" s="35" t="s">
        <v>278</v>
      </c>
      <c r="D126" s="35">
        <v>1</v>
      </c>
      <c r="E126" s="35">
        <v>0</v>
      </c>
      <c r="G126" s="34"/>
      <c r="H126" s="39"/>
      <c r="I126" s="39">
        <f t="shared" si="12"/>
        <v>0</v>
      </c>
      <c r="J126" s="39" t="e">
        <f t="shared" si="13"/>
        <v>#DIV/0!</v>
      </c>
      <c r="K126" s="39">
        <f t="shared" si="14"/>
        <v>0</v>
      </c>
      <c r="L126" s="39" t="e">
        <f t="shared" si="15"/>
        <v>#DIV/0!</v>
      </c>
    </row>
    <row r="127" spans="1:12" ht="15.75" hidden="1" thickBot="1" x14ac:dyDescent="0.3">
      <c r="A127" s="34">
        <v>12</v>
      </c>
      <c r="B127" s="34">
        <v>1982</v>
      </c>
      <c r="C127" s="34" t="s">
        <v>278</v>
      </c>
      <c r="D127" s="34">
        <v>1</v>
      </c>
      <c r="E127" s="34">
        <v>0</v>
      </c>
      <c r="G127" s="35"/>
      <c r="H127" s="39"/>
      <c r="I127" s="39">
        <f t="shared" si="12"/>
        <v>0</v>
      </c>
      <c r="J127" s="39" t="e">
        <f t="shared" si="13"/>
        <v>#DIV/0!</v>
      </c>
      <c r="K127" s="39">
        <f t="shared" si="14"/>
        <v>0</v>
      </c>
      <c r="L127" s="39" t="e">
        <f t="shared" si="15"/>
        <v>#DIV/0!</v>
      </c>
    </row>
    <row r="128" spans="1:12" ht="15.75" hidden="1" thickBot="1" x14ac:dyDescent="0.3">
      <c r="A128" s="35">
        <v>31</v>
      </c>
      <c r="B128" s="35">
        <v>1251</v>
      </c>
      <c r="C128" s="35" t="s">
        <v>278</v>
      </c>
      <c r="D128" s="35">
        <v>1</v>
      </c>
      <c r="E128" s="35">
        <v>0</v>
      </c>
      <c r="G128" s="35"/>
      <c r="H128" s="39"/>
      <c r="I128" s="39">
        <f t="shared" si="12"/>
        <v>0</v>
      </c>
      <c r="J128" s="39" t="e">
        <f t="shared" si="13"/>
        <v>#DIV/0!</v>
      </c>
      <c r="K128" s="39">
        <f t="shared" si="14"/>
        <v>0</v>
      </c>
      <c r="L128" s="39" t="e">
        <f t="shared" si="15"/>
        <v>#DIV/0!</v>
      </c>
    </row>
    <row r="129" spans="1:14" ht="15.75" hidden="1" thickBot="1" x14ac:dyDescent="0.3">
      <c r="A129" s="34">
        <v>15</v>
      </c>
      <c r="B129" s="34">
        <v>118</v>
      </c>
      <c r="C129" s="34" t="s">
        <v>278</v>
      </c>
      <c r="D129" s="34">
        <v>1</v>
      </c>
      <c r="E129" s="34">
        <v>0</v>
      </c>
      <c r="G129" s="35"/>
      <c r="H129" s="39"/>
      <c r="I129" s="39">
        <f t="shared" si="12"/>
        <v>0</v>
      </c>
      <c r="J129" s="39" t="e">
        <f t="shared" si="13"/>
        <v>#DIV/0!</v>
      </c>
      <c r="K129" s="39">
        <f t="shared" si="14"/>
        <v>0</v>
      </c>
      <c r="L129" s="39" t="e">
        <f t="shared" si="15"/>
        <v>#DIV/0!</v>
      </c>
    </row>
    <row r="130" spans="1:14" ht="15.75" hidden="1" thickBot="1" x14ac:dyDescent="0.3">
      <c r="A130" s="35">
        <v>16</v>
      </c>
      <c r="B130" s="35">
        <v>1619</v>
      </c>
      <c r="C130" s="35" t="s">
        <v>278</v>
      </c>
      <c r="D130" s="35">
        <v>1</v>
      </c>
      <c r="E130" s="35">
        <v>0</v>
      </c>
      <c r="G130" s="35"/>
      <c r="H130" s="39"/>
      <c r="I130" s="39">
        <f t="shared" ref="I130:I161" si="16">SUMIF(B:B,G130,D:D)</f>
        <v>0</v>
      </c>
      <c r="J130" s="39" t="e">
        <f t="shared" ref="J130:J161" si="17">I130/H130</f>
        <v>#DIV/0!</v>
      </c>
      <c r="K130" s="39">
        <f t="shared" ref="K130:K161" si="18">SUMIF(B:B,G130,E:E)</f>
        <v>0</v>
      </c>
      <c r="L130" s="39" t="e">
        <f t="shared" ref="L130:L161" si="19">K130/H130</f>
        <v>#DIV/0!</v>
      </c>
    </row>
    <row r="131" spans="1:14" ht="15.75" hidden="1" thickBot="1" x14ac:dyDescent="0.3">
      <c r="A131" s="34">
        <v>39</v>
      </c>
      <c r="B131" s="34">
        <v>6474</v>
      </c>
      <c r="C131" s="34" t="s">
        <v>278</v>
      </c>
      <c r="D131" s="34">
        <v>1</v>
      </c>
      <c r="E131" s="34">
        <v>0</v>
      </c>
      <c r="G131" s="41"/>
      <c r="H131" s="39"/>
      <c r="I131" s="39">
        <f t="shared" si="16"/>
        <v>0</v>
      </c>
      <c r="J131" s="39" t="e">
        <f t="shared" si="17"/>
        <v>#DIV/0!</v>
      </c>
      <c r="K131" s="39">
        <f t="shared" si="18"/>
        <v>0</v>
      </c>
      <c r="L131" s="39" t="e">
        <f t="shared" si="19"/>
        <v>#DIV/0!</v>
      </c>
    </row>
    <row r="132" spans="1:14" ht="15.75" thickBot="1" x14ac:dyDescent="0.3">
      <c r="A132" s="35">
        <v>48</v>
      </c>
      <c r="B132" s="35">
        <v>5802</v>
      </c>
      <c r="C132" s="35" t="s">
        <v>278</v>
      </c>
      <c r="D132" s="35">
        <v>1</v>
      </c>
      <c r="E132" s="35">
        <v>0</v>
      </c>
      <c r="G132" s="35">
        <v>1678</v>
      </c>
      <c r="H132" s="39">
        <f t="shared" ref="H132:H178" si="20">COUNTIF(B:B,G132)</f>
        <v>4</v>
      </c>
      <c r="I132" s="39">
        <f t="shared" si="16"/>
        <v>8</v>
      </c>
      <c r="J132" s="39">
        <f t="shared" si="17"/>
        <v>2</v>
      </c>
      <c r="K132" s="39">
        <f t="shared" si="18"/>
        <v>0</v>
      </c>
      <c r="L132" s="39">
        <f t="shared" si="19"/>
        <v>0</v>
      </c>
      <c r="N132" s="35"/>
    </row>
    <row r="133" spans="1:14" ht="15.75" thickBot="1" x14ac:dyDescent="0.3">
      <c r="A133" s="34">
        <v>49</v>
      </c>
      <c r="B133" s="34">
        <v>3158</v>
      </c>
      <c r="C133" s="34" t="s">
        <v>278</v>
      </c>
      <c r="D133" s="34">
        <v>1</v>
      </c>
      <c r="E133" s="34">
        <v>0</v>
      </c>
      <c r="G133" s="34">
        <v>3310</v>
      </c>
      <c r="H133" s="39">
        <f t="shared" si="20"/>
        <v>1</v>
      </c>
      <c r="I133" s="39">
        <f t="shared" si="16"/>
        <v>2</v>
      </c>
      <c r="J133" s="39">
        <f t="shared" si="17"/>
        <v>2</v>
      </c>
      <c r="K133" s="39">
        <f t="shared" si="18"/>
        <v>0</v>
      </c>
      <c r="L133" s="39">
        <f t="shared" si="19"/>
        <v>0</v>
      </c>
      <c r="N133" s="34"/>
    </row>
    <row r="134" spans="1:14" ht="15.75" hidden="1" thickBot="1" x14ac:dyDescent="0.3">
      <c r="A134" s="35">
        <v>51</v>
      </c>
      <c r="B134" s="35">
        <v>1619</v>
      </c>
      <c r="C134" s="35" t="s">
        <v>278</v>
      </c>
      <c r="D134" s="35">
        <v>1</v>
      </c>
      <c r="E134" s="35">
        <v>0</v>
      </c>
      <c r="G134" s="35">
        <v>684</v>
      </c>
      <c r="H134" s="39">
        <f t="shared" si="20"/>
        <v>0</v>
      </c>
      <c r="I134" s="39">
        <f t="shared" si="16"/>
        <v>0</v>
      </c>
      <c r="J134" s="39" t="e">
        <f t="shared" si="17"/>
        <v>#DIV/0!</v>
      </c>
      <c r="K134" s="39">
        <f t="shared" si="18"/>
        <v>0</v>
      </c>
      <c r="L134" s="39" t="e">
        <f t="shared" si="19"/>
        <v>#DIV/0!</v>
      </c>
      <c r="N134" s="35"/>
    </row>
    <row r="135" spans="1:14" ht="15.75" thickBot="1" x14ac:dyDescent="0.3">
      <c r="A135" s="34">
        <v>51</v>
      </c>
      <c r="B135" s="34">
        <v>5199</v>
      </c>
      <c r="C135" s="34" t="s">
        <v>278</v>
      </c>
      <c r="D135" s="34">
        <v>1</v>
      </c>
      <c r="E135" s="34">
        <v>0</v>
      </c>
      <c r="G135" s="35">
        <v>2403</v>
      </c>
      <c r="H135" s="39">
        <f t="shared" si="20"/>
        <v>9</v>
      </c>
      <c r="I135" s="39">
        <f t="shared" si="16"/>
        <v>17</v>
      </c>
      <c r="J135" s="39">
        <f t="shared" si="17"/>
        <v>1.8888888888888888</v>
      </c>
      <c r="K135" s="39">
        <f t="shared" si="18"/>
        <v>1</v>
      </c>
      <c r="L135" s="39">
        <f t="shared" si="19"/>
        <v>0.1111111111111111</v>
      </c>
      <c r="N135" s="35"/>
    </row>
    <row r="136" spans="1:14" ht="15.75" thickBot="1" x14ac:dyDescent="0.3">
      <c r="A136" s="35">
        <v>52</v>
      </c>
      <c r="B136" s="35">
        <v>3128</v>
      </c>
      <c r="C136" s="35" t="s">
        <v>278</v>
      </c>
      <c r="D136" s="35">
        <v>1</v>
      </c>
      <c r="E136" s="35">
        <v>1</v>
      </c>
      <c r="G136" s="34">
        <v>687</v>
      </c>
      <c r="H136" s="39">
        <f t="shared" si="20"/>
        <v>5</v>
      </c>
      <c r="I136" s="39">
        <f t="shared" si="16"/>
        <v>9</v>
      </c>
      <c r="J136" s="39">
        <f t="shared" si="17"/>
        <v>1.8</v>
      </c>
      <c r="K136" s="39">
        <f t="shared" si="18"/>
        <v>0</v>
      </c>
      <c r="L136" s="39">
        <f t="shared" si="19"/>
        <v>0</v>
      </c>
      <c r="N136" s="34"/>
    </row>
    <row r="137" spans="1:14" ht="15.75" thickBot="1" x14ac:dyDescent="0.3">
      <c r="A137" s="34">
        <v>52</v>
      </c>
      <c r="B137" s="34">
        <v>6508</v>
      </c>
      <c r="C137" s="34" t="s">
        <v>278</v>
      </c>
      <c r="D137" s="34">
        <v>1</v>
      </c>
      <c r="E137" s="34">
        <v>0</v>
      </c>
      <c r="G137" s="34">
        <v>1011</v>
      </c>
      <c r="H137" s="39">
        <f t="shared" si="20"/>
        <v>9</v>
      </c>
      <c r="I137" s="39">
        <f t="shared" si="16"/>
        <v>14</v>
      </c>
      <c r="J137" s="39">
        <f t="shared" si="17"/>
        <v>1.5555555555555556</v>
      </c>
      <c r="K137" s="39">
        <f t="shared" si="18"/>
        <v>1</v>
      </c>
      <c r="L137" s="39">
        <f t="shared" si="19"/>
        <v>0.1111111111111111</v>
      </c>
      <c r="N137" s="34"/>
    </row>
    <row r="138" spans="1:14" ht="15.75" thickBot="1" x14ac:dyDescent="0.3">
      <c r="A138" s="35">
        <v>53</v>
      </c>
      <c r="B138" s="35">
        <v>832</v>
      </c>
      <c r="C138" s="35" t="s">
        <v>278</v>
      </c>
      <c r="D138" s="35">
        <v>1</v>
      </c>
      <c r="E138" s="35">
        <v>0</v>
      </c>
      <c r="G138" s="34">
        <v>1619</v>
      </c>
      <c r="H138" s="39">
        <f t="shared" si="20"/>
        <v>7</v>
      </c>
      <c r="I138" s="39">
        <f t="shared" si="16"/>
        <v>9</v>
      </c>
      <c r="J138" s="39">
        <f t="shared" si="17"/>
        <v>1.2857142857142858</v>
      </c>
      <c r="K138" s="39">
        <f t="shared" si="18"/>
        <v>0</v>
      </c>
      <c r="L138" s="39">
        <f t="shared" si="19"/>
        <v>0</v>
      </c>
      <c r="N138" s="34"/>
    </row>
    <row r="139" spans="1:14" ht="15.75" thickBot="1" x14ac:dyDescent="0.3">
      <c r="A139" s="34">
        <v>54</v>
      </c>
      <c r="B139" s="34">
        <v>3481</v>
      </c>
      <c r="C139" s="34" t="s">
        <v>278</v>
      </c>
      <c r="D139" s="34">
        <v>1</v>
      </c>
      <c r="E139" s="34">
        <v>0</v>
      </c>
      <c r="G139" s="34">
        <v>3128</v>
      </c>
      <c r="H139" s="39">
        <f t="shared" si="20"/>
        <v>9</v>
      </c>
      <c r="I139" s="39">
        <f t="shared" si="16"/>
        <v>11</v>
      </c>
      <c r="J139" s="39">
        <f t="shared" si="17"/>
        <v>1.2222222222222223</v>
      </c>
      <c r="K139" s="39">
        <f t="shared" si="18"/>
        <v>3</v>
      </c>
      <c r="L139" s="39">
        <f t="shared" si="19"/>
        <v>0.33333333333333331</v>
      </c>
      <c r="N139" s="34"/>
    </row>
    <row r="140" spans="1:14" ht="15.75" thickBot="1" x14ac:dyDescent="0.3">
      <c r="A140" s="35">
        <v>55</v>
      </c>
      <c r="B140" s="35">
        <v>1982</v>
      </c>
      <c r="C140" s="35" t="s">
        <v>278</v>
      </c>
      <c r="D140" s="35">
        <v>1</v>
      </c>
      <c r="E140" s="35">
        <v>0</v>
      </c>
      <c r="G140" s="34">
        <v>3481</v>
      </c>
      <c r="H140" s="39">
        <f t="shared" si="20"/>
        <v>8</v>
      </c>
      <c r="I140" s="39">
        <f t="shared" si="16"/>
        <v>9</v>
      </c>
      <c r="J140" s="39">
        <f t="shared" si="17"/>
        <v>1.125</v>
      </c>
      <c r="K140" s="39">
        <f t="shared" si="18"/>
        <v>0</v>
      </c>
      <c r="L140" s="39">
        <f t="shared" si="19"/>
        <v>0</v>
      </c>
      <c r="N140" s="34"/>
    </row>
    <row r="141" spans="1:14" ht="15.75" thickBot="1" x14ac:dyDescent="0.3">
      <c r="A141" s="34">
        <v>55</v>
      </c>
      <c r="B141" s="34">
        <v>5997</v>
      </c>
      <c r="C141" s="34" t="s">
        <v>278</v>
      </c>
      <c r="D141" s="34">
        <v>1</v>
      </c>
      <c r="E141" s="34">
        <v>0</v>
      </c>
      <c r="G141" s="34">
        <v>6508</v>
      </c>
      <c r="H141" s="39">
        <f t="shared" si="20"/>
        <v>7</v>
      </c>
      <c r="I141" s="39">
        <f t="shared" si="16"/>
        <v>7</v>
      </c>
      <c r="J141" s="39">
        <f t="shared" si="17"/>
        <v>1</v>
      </c>
      <c r="K141" s="39">
        <f t="shared" si="18"/>
        <v>0</v>
      </c>
      <c r="L141" s="39">
        <f t="shared" si="19"/>
        <v>0</v>
      </c>
      <c r="N141" s="34"/>
    </row>
    <row r="142" spans="1:14" ht="15.75" thickBot="1" x14ac:dyDescent="0.3">
      <c r="A142" s="35">
        <v>56</v>
      </c>
      <c r="B142" s="35">
        <v>1251</v>
      </c>
      <c r="C142" s="35" t="s">
        <v>278</v>
      </c>
      <c r="D142" s="35">
        <v>1</v>
      </c>
      <c r="E142" s="35">
        <v>0</v>
      </c>
      <c r="G142" s="34">
        <v>1251</v>
      </c>
      <c r="H142" s="39">
        <f t="shared" si="20"/>
        <v>6</v>
      </c>
      <c r="I142" s="39">
        <f t="shared" si="16"/>
        <v>6</v>
      </c>
      <c r="J142" s="39">
        <f t="shared" si="17"/>
        <v>1</v>
      </c>
      <c r="K142" s="39">
        <f t="shared" si="18"/>
        <v>3</v>
      </c>
      <c r="L142" s="39">
        <f t="shared" si="19"/>
        <v>0.5</v>
      </c>
      <c r="N142" s="34"/>
    </row>
    <row r="143" spans="1:14" ht="15.75" thickBot="1" x14ac:dyDescent="0.3">
      <c r="A143" s="34">
        <v>56</v>
      </c>
      <c r="B143" s="34">
        <v>4061</v>
      </c>
      <c r="C143" s="34" t="s">
        <v>278</v>
      </c>
      <c r="D143" s="34">
        <v>1</v>
      </c>
      <c r="E143" s="34">
        <v>0</v>
      </c>
      <c r="G143" s="35">
        <v>1982</v>
      </c>
      <c r="H143" s="39">
        <f t="shared" si="20"/>
        <v>6</v>
      </c>
      <c r="I143" s="39">
        <f t="shared" si="16"/>
        <v>6</v>
      </c>
      <c r="J143" s="39">
        <f t="shared" si="17"/>
        <v>1</v>
      </c>
      <c r="K143" s="39">
        <f t="shared" si="18"/>
        <v>0</v>
      </c>
      <c r="L143" s="39">
        <f t="shared" si="19"/>
        <v>0</v>
      </c>
      <c r="N143" s="35"/>
    </row>
    <row r="144" spans="1:14" ht="15.75" thickBot="1" x14ac:dyDescent="0.3">
      <c r="A144" s="35">
        <v>57</v>
      </c>
      <c r="B144" s="35">
        <v>6377</v>
      </c>
      <c r="C144" s="35" t="s">
        <v>278</v>
      </c>
      <c r="D144" s="35">
        <v>1</v>
      </c>
      <c r="E144" s="35">
        <v>0</v>
      </c>
      <c r="G144" s="34">
        <v>3501</v>
      </c>
      <c r="H144" s="39">
        <f t="shared" si="20"/>
        <v>6</v>
      </c>
      <c r="I144" s="39">
        <f t="shared" si="16"/>
        <v>6</v>
      </c>
      <c r="J144" s="39">
        <f t="shared" si="17"/>
        <v>1</v>
      </c>
      <c r="K144" s="39">
        <f t="shared" si="18"/>
        <v>0</v>
      </c>
      <c r="L144" s="39">
        <f t="shared" si="19"/>
        <v>0</v>
      </c>
      <c r="N144" s="34"/>
    </row>
    <row r="145" spans="1:14" ht="15.75" thickBot="1" x14ac:dyDescent="0.3">
      <c r="A145" s="34">
        <v>59</v>
      </c>
      <c r="B145" s="34">
        <v>3481</v>
      </c>
      <c r="C145" s="34" t="s">
        <v>278</v>
      </c>
      <c r="D145" s="34">
        <v>1</v>
      </c>
      <c r="E145" s="34">
        <v>0</v>
      </c>
      <c r="G145" s="35">
        <v>4061</v>
      </c>
      <c r="H145" s="39">
        <f t="shared" si="20"/>
        <v>6</v>
      </c>
      <c r="I145" s="39">
        <f t="shared" si="16"/>
        <v>6</v>
      </c>
      <c r="J145" s="39">
        <f t="shared" si="17"/>
        <v>1</v>
      </c>
      <c r="K145" s="39">
        <f t="shared" si="18"/>
        <v>0</v>
      </c>
      <c r="L145" s="39">
        <f t="shared" si="19"/>
        <v>0</v>
      </c>
      <c r="N145" s="35"/>
    </row>
    <row r="146" spans="1:14" ht="15.75" thickBot="1" x14ac:dyDescent="0.3">
      <c r="A146" s="35">
        <v>59</v>
      </c>
      <c r="B146" s="35">
        <v>6510</v>
      </c>
      <c r="C146" s="35" t="s">
        <v>278</v>
      </c>
      <c r="D146" s="35">
        <v>1</v>
      </c>
      <c r="E146" s="35">
        <v>0</v>
      </c>
      <c r="G146" s="35">
        <v>5199</v>
      </c>
      <c r="H146" s="39">
        <f t="shared" si="20"/>
        <v>6</v>
      </c>
      <c r="I146" s="39">
        <f t="shared" si="16"/>
        <v>6</v>
      </c>
      <c r="J146" s="39">
        <f t="shared" si="17"/>
        <v>1</v>
      </c>
      <c r="K146" s="39">
        <f t="shared" si="18"/>
        <v>0</v>
      </c>
      <c r="L146" s="39">
        <f t="shared" si="19"/>
        <v>0</v>
      </c>
      <c r="N146" s="35"/>
    </row>
    <row r="147" spans="1:14" ht="15.75" thickBot="1" x14ac:dyDescent="0.3">
      <c r="A147" s="34">
        <v>60</v>
      </c>
      <c r="B147" s="34">
        <v>604</v>
      </c>
      <c r="C147" s="34" t="s">
        <v>278</v>
      </c>
      <c r="D147" s="34">
        <v>1</v>
      </c>
      <c r="E147" s="34">
        <v>0</v>
      </c>
      <c r="G147" s="34">
        <v>6510</v>
      </c>
      <c r="H147" s="39">
        <f t="shared" si="20"/>
        <v>6</v>
      </c>
      <c r="I147" s="39">
        <f t="shared" si="16"/>
        <v>6</v>
      </c>
      <c r="J147" s="39">
        <f t="shared" si="17"/>
        <v>1</v>
      </c>
      <c r="K147" s="39">
        <f t="shared" si="18"/>
        <v>0</v>
      </c>
      <c r="L147" s="39">
        <f t="shared" si="19"/>
        <v>0</v>
      </c>
      <c r="N147" s="34"/>
    </row>
    <row r="148" spans="1:14" ht="15.75" thickBot="1" x14ac:dyDescent="0.3">
      <c r="A148" s="35">
        <v>61</v>
      </c>
      <c r="B148" s="35">
        <v>832</v>
      </c>
      <c r="C148" s="35" t="s">
        <v>278</v>
      </c>
      <c r="D148" s="35">
        <v>1</v>
      </c>
      <c r="E148" s="35">
        <v>0</v>
      </c>
      <c r="G148" s="35">
        <v>624</v>
      </c>
      <c r="H148" s="39">
        <f t="shared" si="20"/>
        <v>5</v>
      </c>
      <c r="I148" s="39">
        <f t="shared" si="16"/>
        <v>5</v>
      </c>
      <c r="J148" s="39">
        <f t="shared" si="17"/>
        <v>1</v>
      </c>
      <c r="K148" s="39">
        <f t="shared" si="18"/>
        <v>0</v>
      </c>
      <c r="L148" s="39">
        <f t="shared" si="19"/>
        <v>0</v>
      </c>
      <c r="N148" s="35"/>
    </row>
    <row r="149" spans="1:14" ht="15.75" thickBot="1" x14ac:dyDescent="0.3">
      <c r="A149" s="34">
        <v>62</v>
      </c>
      <c r="B149" s="34">
        <v>118</v>
      </c>
      <c r="C149" s="34" t="s">
        <v>278</v>
      </c>
      <c r="D149" s="34">
        <v>1</v>
      </c>
      <c r="E149" s="34">
        <v>0</v>
      </c>
      <c r="G149" s="34">
        <v>4513</v>
      </c>
      <c r="H149" s="39">
        <f t="shared" si="20"/>
        <v>5</v>
      </c>
      <c r="I149" s="39">
        <f t="shared" si="16"/>
        <v>5</v>
      </c>
      <c r="J149" s="39">
        <f t="shared" si="17"/>
        <v>1</v>
      </c>
      <c r="K149" s="39">
        <f t="shared" si="18"/>
        <v>0</v>
      </c>
      <c r="L149" s="39">
        <f t="shared" si="19"/>
        <v>0</v>
      </c>
      <c r="N149" s="34"/>
    </row>
    <row r="150" spans="1:14" ht="15.75" thickBot="1" x14ac:dyDescent="0.3">
      <c r="A150" s="35">
        <v>49</v>
      </c>
      <c r="B150" s="35">
        <v>2367</v>
      </c>
      <c r="C150" s="35" t="s">
        <v>278</v>
      </c>
      <c r="D150" s="35">
        <v>1</v>
      </c>
      <c r="E150" s="35">
        <v>0</v>
      </c>
      <c r="G150" s="35">
        <v>1723</v>
      </c>
      <c r="H150" s="39">
        <f t="shared" si="20"/>
        <v>4</v>
      </c>
      <c r="I150" s="39">
        <f t="shared" si="16"/>
        <v>4</v>
      </c>
      <c r="J150" s="39">
        <f t="shared" si="17"/>
        <v>1</v>
      </c>
      <c r="K150" s="39">
        <f t="shared" si="18"/>
        <v>1</v>
      </c>
      <c r="L150" s="39">
        <f t="shared" si="19"/>
        <v>0.25</v>
      </c>
      <c r="N150" s="35"/>
    </row>
    <row r="151" spans="1:14" ht="15.75" thickBot="1" x14ac:dyDescent="0.3">
      <c r="A151" s="34">
        <v>44</v>
      </c>
      <c r="B151" s="34">
        <v>5199</v>
      </c>
      <c r="C151" s="34" t="s">
        <v>278</v>
      </c>
      <c r="D151" s="34">
        <v>1</v>
      </c>
      <c r="E151" s="34">
        <v>0</v>
      </c>
      <c r="G151" s="34">
        <v>118</v>
      </c>
      <c r="H151" s="39">
        <f t="shared" si="20"/>
        <v>4</v>
      </c>
      <c r="I151" s="39">
        <f t="shared" si="16"/>
        <v>4</v>
      </c>
      <c r="J151" s="39">
        <f t="shared" si="17"/>
        <v>1</v>
      </c>
      <c r="K151" s="39">
        <f t="shared" si="18"/>
        <v>0</v>
      </c>
      <c r="L151" s="39">
        <f t="shared" si="19"/>
        <v>0</v>
      </c>
      <c r="N151" s="34"/>
    </row>
    <row r="152" spans="1:14" ht="15.75" thickBot="1" x14ac:dyDescent="0.3">
      <c r="A152" s="35">
        <v>42</v>
      </c>
      <c r="B152" s="35">
        <v>3501</v>
      </c>
      <c r="C152" s="35" t="s">
        <v>278</v>
      </c>
      <c r="D152" s="35">
        <v>1</v>
      </c>
      <c r="E152" s="35">
        <v>0</v>
      </c>
      <c r="G152" s="35">
        <v>1648</v>
      </c>
      <c r="H152" s="39">
        <f t="shared" si="20"/>
        <v>4</v>
      </c>
      <c r="I152" s="39">
        <f t="shared" si="16"/>
        <v>4</v>
      </c>
      <c r="J152" s="39">
        <f t="shared" si="17"/>
        <v>1</v>
      </c>
      <c r="K152" s="39">
        <f t="shared" si="18"/>
        <v>0</v>
      </c>
      <c r="L152" s="39">
        <f t="shared" si="19"/>
        <v>0</v>
      </c>
      <c r="N152" s="35"/>
    </row>
    <row r="153" spans="1:14" ht="15.75" thickBot="1" x14ac:dyDescent="0.3">
      <c r="A153" s="34">
        <v>43</v>
      </c>
      <c r="B153" s="34">
        <v>1648</v>
      </c>
      <c r="C153" s="34" t="s">
        <v>278</v>
      </c>
      <c r="D153" s="34">
        <v>1</v>
      </c>
      <c r="E153" s="34">
        <v>0</v>
      </c>
      <c r="G153" s="35">
        <v>604</v>
      </c>
      <c r="H153" s="39">
        <f t="shared" si="20"/>
        <v>3</v>
      </c>
      <c r="I153" s="39">
        <f t="shared" si="16"/>
        <v>3</v>
      </c>
      <c r="J153" s="39">
        <f t="shared" si="17"/>
        <v>1</v>
      </c>
      <c r="K153" s="39">
        <f t="shared" si="18"/>
        <v>0</v>
      </c>
      <c r="L153" s="39">
        <f t="shared" si="19"/>
        <v>0</v>
      </c>
      <c r="N153" s="35"/>
    </row>
    <row r="154" spans="1:14" ht="15.75" thickBot="1" x14ac:dyDescent="0.3">
      <c r="A154" s="35">
        <v>44</v>
      </c>
      <c r="B154" s="35">
        <v>4061</v>
      </c>
      <c r="C154" s="35" t="s">
        <v>278</v>
      </c>
      <c r="D154" s="35">
        <v>1</v>
      </c>
      <c r="E154" s="35">
        <v>0</v>
      </c>
      <c r="G154" s="35">
        <v>2367</v>
      </c>
      <c r="H154" s="39">
        <f t="shared" si="20"/>
        <v>3</v>
      </c>
      <c r="I154" s="39">
        <f t="shared" si="16"/>
        <v>3</v>
      </c>
      <c r="J154" s="39">
        <f t="shared" si="17"/>
        <v>1</v>
      </c>
      <c r="K154" s="39">
        <f t="shared" si="18"/>
        <v>0</v>
      </c>
      <c r="L154" s="39">
        <f t="shared" si="19"/>
        <v>0</v>
      </c>
      <c r="N154" s="35"/>
    </row>
    <row r="155" spans="1:14" ht="15.75" thickBot="1" x14ac:dyDescent="0.3">
      <c r="A155" s="34">
        <v>46</v>
      </c>
      <c r="B155" s="34">
        <v>624</v>
      </c>
      <c r="C155" s="34" t="s">
        <v>278</v>
      </c>
      <c r="D155" s="34">
        <v>1</v>
      </c>
      <c r="E155" s="34">
        <v>0</v>
      </c>
      <c r="G155" s="34">
        <v>3158</v>
      </c>
      <c r="H155" s="39">
        <f t="shared" si="20"/>
        <v>3</v>
      </c>
      <c r="I155" s="39">
        <f t="shared" si="16"/>
        <v>3</v>
      </c>
      <c r="J155" s="39">
        <f t="shared" si="17"/>
        <v>1</v>
      </c>
      <c r="K155" s="39">
        <f t="shared" si="18"/>
        <v>0</v>
      </c>
      <c r="L155" s="39">
        <f t="shared" si="19"/>
        <v>0</v>
      </c>
      <c r="N155" s="34"/>
    </row>
    <row r="156" spans="1:14" ht="15.75" thickBot="1" x14ac:dyDescent="0.3">
      <c r="A156" s="35">
        <v>47</v>
      </c>
      <c r="B156" s="35">
        <v>4513</v>
      </c>
      <c r="C156" s="35" t="s">
        <v>278</v>
      </c>
      <c r="D156" s="35">
        <v>1</v>
      </c>
      <c r="E156" s="35">
        <v>0</v>
      </c>
      <c r="G156" s="34">
        <v>3737</v>
      </c>
      <c r="H156" s="39">
        <f t="shared" si="20"/>
        <v>3</v>
      </c>
      <c r="I156" s="39">
        <f t="shared" si="16"/>
        <v>3</v>
      </c>
      <c r="J156" s="39">
        <f t="shared" si="17"/>
        <v>1</v>
      </c>
      <c r="K156" s="39">
        <f t="shared" si="18"/>
        <v>0</v>
      </c>
      <c r="L156" s="39">
        <f t="shared" si="19"/>
        <v>0</v>
      </c>
      <c r="N156" s="34"/>
    </row>
    <row r="157" spans="1:14" ht="15.75" thickBot="1" x14ac:dyDescent="0.3">
      <c r="A157" s="34">
        <v>41</v>
      </c>
      <c r="B157" s="34">
        <v>118</v>
      </c>
      <c r="C157" s="34" t="s">
        <v>278</v>
      </c>
      <c r="D157" s="34">
        <v>1</v>
      </c>
      <c r="E157" s="34">
        <v>0</v>
      </c>
      <c r="G157" s="34">
        <v>6474</v>
      </c>
      <c r="H157" s="39">
        <f t="shared" si="20"/>
        <v>3</v>
      </c>
      <c r="I157" s="39">
        <f t="shared" si="16"/>
        <v>3</v>
      </c>
      <c r="J157" s="39">
        <f t="shared" si="17"/>
        <v>1</v>
      </c>
      <c r="K157" s="39">
        <f t="shared" si="18"/>
        <v>0</v>
      </c>
      <c r="L157" s="39">
        <f t="shared" si="19"/>
        <v>0</v>
      </c>
      <c r="N157" s="34"/>
    </row>
    <row r="158" spans="1:14" ht="15.75" thickBot="1" x14ac:dyDescent="0.3">
      <c r="A158" s="35">
        <v>40</v>
      </c>
      <c r="B158" s="35">
        <v>6510</v>
      </c>
      <c r="C158" s="35" t="s">
        <v>278</v>
      </c>
      <c r="D158" s="35">
        <v>1</v>
      </c>
      <c r="E158" s="35">
        <v>0</v>
      </c>
      <c r="G158" s="35">
        <v>812</v>
      </c>
      <c r="H158" s="39">
        <f t="shared" si="20"/>
        <v>1</v>
      </c>
      <c r="I158" s="39">
        <f t="shared" si="16"/>
        <v>1</v>
      </c>
      <c r="J158" s="39">
        <f t="shared" si="17"/>
        <v>1</v>
      </c>
      <c r="K158" s="39">
        <f t="shared" si="18"/>
        <v>0</v>
      </c>
      <c r="L158" s="39">
        <f t="shared" si="19"/>
        <v>0</v>
      </c>
      <c r="N158" s="35"/>
    </row>
    <row r="159" spans="1:14" ht="15.75" thickBot="1" x14ac:dyDescent="0.3">
      <c r="A159" s="34">
        <v>43</v>
      </c>
      <c r="B159" s="34">
        <v>1723</v>
      </c>
      <c r="C159" s="34" t="s">
        <v>278</v>
      </c>
      <c r="D159" s="34">
        <v>1</v>
      </c>
      <c r="E159" s="34">
        <v>0</v>
      </c>
      <c r="G159" s="34">
        <v>1868</v>
      </c>
      <c r="H159" s="39">
        <f t="shared" si="20"/>
        <v>1</v>
      </c>
      <c r="I159" s="39">
        <f t="shared" si="16"/>
        <v>1</v>
      </c>
      <c r="J159" s="39">
        <f t="shared" si="17"/>
        <v>1</v>
      </c>
      <c r="K159" s="39">
        <f t="shared" si="18"/>
        <v>0</v>
      </c>
      <c r="L159" s="39">
        <f t="shared" si="19"/>
        <v>0</v>
      </c>
      <c r="N159" s="34"/>
    </row>
    <row r="160" spans="1:14" ht="15.75" thickBot="1" x14ac:dyDescent="0.3">
      <c r="A160" s="35">
        <v>48</v>
      </c>
      <c r="B160" s="35">
        <v>3737</v>
      </c>
      <c r="C160" s="35" t="s">
        <v>278</v>
      </c>
      <c r="D160" s="35">
        <v>1</v>
      </c>
      <c r="E160" s="35">
        <v>0</v>
      </c>
      <c r="G160" s="34">
        <v>3164</v>
      </c>
      <c r="H160" s="39">
        <f t="shared" si="20"/>
        <v>1</v>
      </c>
      <c r="I160" s="39">
        <f t="shared" si="16"/>
        <v>1</v>
      </c>
      <c r="J160" s="39">
        <f t="shared" si="17"/>
        <v>1</v>
      </c>
      <c r="K160" s="39">
        <f t="shared" si="18"/>
        <v>0</v>
      </c>
      <c r="L160" s="39">
        <f t="shared" si="19"/>
        <v>0</v>
      </c>
      <c r="N160" s="34"/>
    </row>
    <row r="161" spans="1:14" ht="15.75" thickBot="1" x14ac:dyDescent="0.3">
      <c r="A161" s="34">
        <v>45</v>
      </c>
      <c r="B161" s="34">
        <v>3128</v>
      </c>
      <c r="C161" s="34" t="s">
        <v>278</v>
      </c>
      <c r="D161" s="34">
        <v>1</v>
      </c>
      <c r="E161" s="34">
        <v>1</v>
      </c>
      <c r="G161" s="34">
        <v>3473</v>
      </c>
      <c r="H161" s="39">
        <f t="shared" si="20"/>
        <v>1</v>
      </c>
      <c r="I161" s="39">
        <f t="shared" si="16"/>
        <v>1</v>
      </c>
      <c r="J161" s="39">
        <f t="shared" si="17"/>
        <v>1</v>
      </c>
      <c r="K161" s="39">
        <f t="shared" si="18"/>
        <v>0</v>
      </c>
      <c r="L161" s="39">
        <f t="shared" si="19"/>
        <v>0</v>
      </c>
      <c r="N161" s="34"/>
    </row>
    <row r="162" spans="1:14" ht="15.75" thickBot="1" x14ac:dyDescent="0.3">
      <c r="A162" s="35">
        <v>7</v>
      </c>
      <c r="B162" s="35">
        <v>832</v>
      </c>
      <c r="C162" s="35" t="s">
        <v>278</v>
      </c>
      <c r="D162" s="35">
        <v>0</v>
      </c>
      <c r="E162" s="35">
        <v>1</v>
      </c>
      <c r="G162" s="34">
        <v>4468</v>
      </c>
      <c r="H162" s="39">
        <f t="shared" si="20"/>
        <v>1</v>
      </c>
      <c r="I162" s="39">
        <f t="shared" ref="I162:I178" si="21">SUMIF(B:B,G162,D:D)</f>
        <v>1</v>
      </c>
      <c r="J162" s="39">
        <f t="shared" ref="J162:J193" si="22">I162/H162</f>
        <v>1</v>
      </c>
      <c r="K162" s="39">
        <f t="shared" ref="K162:K178" si="23">SUMIF(B:B,G162,E:E)</f>
        <v>0</v>
      </c>
      <c r="L162" s="39">
        <f t="shared" ref="L162:L193" si="24">K162/H162</f>
        <v>0</v>
      </c>
      <c r="N162" s="34"/>
    </row>
    <row r="163" spans="1:14" ht="15.75" hidden="1" thickBot="1" x14ac:dyDescent="0.3">
      <c r="A163" s="34">
        <v>41</v>
      </c>
      <c r="B163" s="34">
        <v>5654</v>
      </c>
      <c r="C163" s="34" t="s">
        <v>278</v>
      </c>
      <c r="D163" s="34">
        <v>0</v>
      </c>
      <c r="E163" s="34">
        <v>1</v>
      </c>
      <c r="G163" s="34">
        <v>5063</v>
      </c>
      <c r="H163" s="39">
        <f t="shared" si="20"/>
        <v>0</v>
      </c>
      <c r="I163" s="39">
        <f t="shared" si="21"/>
        <v>0</v>
      </c>
      <c r="J163" s="39" t="e">
        <f t="shared" si="22"/>
        <v>#DIV/0!</v>
      </c>
      <c r="K163" s="39">
        <f t="shared" si="23"/>
        <v>0</v>
      </c>
      <c r="L163" s="39" t="e">
        <f t="shared" si="24"/>
        <v>#DIV/0!</v>
      </c>
      <c r="N163" s="34"/>
    </row>
    <row r="164" spans="1:14" ht="15.75" hidden="1" thickBot="1" x14ac:dyDescent="0.3">
      <c r="A164" s="35">
        <v>110</v>
      </c>
      <c r="B164" s="35">
        <v>5654</v>
      </c>
      <c r="C164" s="35" t="s">
        <v>278</v>
      </c>
      <c r="D164" s="35">
        <v>0</v>
      </c>
      <c r="E164" s="35">
        <v>1</v>
      </c>
      <c r="G164" s="34">
        <v>5481</v>
      </c>
      <c r="H164" s="39">
        <f t="shared" si="20"/>
        <v>0</v>
      </c>
      <c r="I164" s="39">
        <f t="shared" si="21"/>
        <v>0</v>
      </c>
      <c r="J164" s="39" t="e">
        <f t="shared" si="22"/>
        <v>#DIV/0!</v>
      </c>
      <c r="K164" s="39">
        <f t="shared" si="23"/>
        <v>0</v>
      </c>
      <c r="L164" s="39" t="e">
        <f t="shared" si="24"/>
        <v>#DIV/0!</v>
      </c>
      <c r="N164" s="34"/>
    </row>
    <row r="165" spans="1:14" ht="15.75" thickBot="1" x14ac:dyDescent="0.3">
      <c r="A165" s="34">
        <v>2</v>
      </c>
      <c r="B165" s="34">
        <v>3128</v>
      </c>
      <c r="C165" s="34" t="s">
        <v>278</v>
      </c>
      <c r="D165" s="34">
        <v>0</v>
      </c>
      <c r="E165" s="34">
        <v>1</v>
      </c>
      <c r="G165" s="35">
        <v>5802</v>
      </c>
      <c r="H165" s="39">
        <f t="shared" si="20"/>
        <v>1</v>
      </c>
      <c r="I165" s="39">
        <f t="shared" si="21"/>
        <v>1</v>
      </c>
      <c r="J165" s="39">
        <f t="shared" si="22"/>
        <v>1</v>
      </c>
      <c r="K165" s="39">
        <f t="shared" si="23"/>
        <v>0</v>
      </c>
      <c r="L165" s="39">
        <f t="shared" si="24"/>
        <v>0</v>
      </c>
      <c r="N165" s="35"/>
    </row>
    <row r="166" spans="1:14" ht="15.75" thickBot="1" x14ac:dyDescent="0.3">
      <c r="A166" s="35">
        <v>33</v>
      </c>
      <c r="B166" s="35">
        <v>3309</v>
      </c>
      <c r="C166" s="35" t="s">
        <v>278</v>
      </c>
      <c r="D166" s="35">
        <v>0</v>
      </c>
      <c r="E166" s="35">
        <v>1</v>
      </c>
      <c r="G166" s="35">
        <v>6424</v>
      </c>
      <c r="H166" s="39">
        <f t="shared" si="20"/>
        <v>2</v>
      </c>
      <c r="I166" s="39">
        <f t="shared" si="21"/>
        <v>1</v>
      </c>
      <c r="J166" s="39">
        <f t="shared" si="22"/>
        <v>0.5</v>
      </c>
      <c r="K166" s="39">
        <f t="shared" si="23"/>
        <v>1</v>
      </c>
      <c r="L166" s="39">
        <f t="shared" si="24"/>
        <v>0.5</v>
      </c>
      <c r="N166" s="35"/>
    </row>
    <row r="167" spans="1:14" ht="15.75" thickBot="1" x14ac:dyDescent="0.3">
      <c r="A167" s="34">
        <v>9</v>
      </c>
      <c r="B167" s="34">
        <v>3140</v>
      </c>
      <c r="C167" s="34" t="s">
        <v>278</v>
      </c>
      <c r="D167" s="34">
        <v>0</v>
      </c>
      <c r="E167" s="34">
        <v>1</v>
      </c>
      <c r="G167" s="35">
        <v>832</v>
      </c>
      <c r="H167" s="39">
        <f t="shared" si="20"/>
        <v>6</v>
      </c>
      <c r="I167" s="39">
        <f t="shared" si="21"/>
        <v>5</v>
      </c>
      <c r="J167" s="39">
        <f t="shared" si="22"/>
        <v>0.83333333333333337</v>
      </c>
      <c r="K167" s="39">
        <f t="shared" si="23"/>
        <v>1</v>
      </c>
      <c r="L167" s="39">
        <f t="shared" si="24"/>
        <v>0.16666666666666666</v>
      </c>
    </row>
    <row r="168" spans="1:14" ht="15.75" thickBot="1" x14ac:dyDescent="0.3">
      <c r="A168" s="35">
        <v>13</v>
      </c>
      <c r="B168" s="35">
        <v>5554</v>
      </c>
      <c r="C168" s="35" t="s">
        <v>278</v>
      </c>
      <c r="D168" s="35">
        <v>0</v>
      </c>
      <c r="E168" s="35">
        <v>1</v>
      </c>
      <c r="G168" s="35">
        <v>968</v>
      </c>
      <c r="H168" s="39">
        <f t="shared" si="20"/>
        <v>4</v>
      </c>
      <c r="I168" s="39">
        <f t="shared" si="21"/>
        <v>3</v>
      </c>
      <c r="J168" s="39">
        <f t="shared" si="22"/>
        <v>0.75</v>
      </c>
      <c r="K168" s="39">
        <f t="shared" si="23"/>
        <v>1</v>
      </c>
      <c r="L168" s="39">
        <f t="shared" si="24"/>
        <v>0.25</v>
      </c>
    </row>
    <row r="169" spans="1:14" ht="15.75" thickBot="1" x14ac:dyDescent="0.3">
      <c r="A169" s="34">
        <v>23</v>
      </c>
      <c r="B169" s="34">
        <v>1723</v>
      </c>
      <c r="C169" s="34" t="s">
        <v>278</v>
      </c>
      <c r="D169" s="34">
        <v>0</v>
      </c>
      <c r="E169" s="34">
        <v>1</v>
      </c>
      <c r="G169" s="34">
        <v>5663</v>
      </c>
      <c r="H169" s="39">
        <f t="shared" si="20"/>
        <v>5</v>
      </c>
      <c r="I169" s="39">
        <f t="shared" si="21"/>
        <v>4</v>
      </c>
      <c r="J169" s="39">
        <f t="shared" si="22"/>
        <v>0.8</v>
      </c>
      <c r="K169" s="39">
        <f t="shared" si="23"/>
        <v>1</v>
      </c>
      <c r="L169" s="39">
        <f t="shared" si="24"/>
        <v>0.2</v>
      </c>
    </row>
    <row r="170" spans="1:14" ht="15.75" thickBot="1" x14ac:dyDescent="0.3">
      <c r="A170" s="35">
        <v>17</v>
      </c>
      <c r="B170" s="35">
        <v>6377</v>
      </c>
      <c r="C170" s="35" t="s">
        <v>278</v>
      </c>
      <c r="D170" s="35">
        <v>0</v>
      </c>
      <c r="E170" s="35">
        <v>1</v>
      </c>
      <c r="G170" s="35">
        <v>6377</v>
      </c>
      <c r="H170" s="39">
        <f t="shared" si="20"/>
        <v>3</v>
      </c>
      <c r="I170" s="39">
        <f t="shared" si="21"/>
        <v>2</v>
      </c>
      <c r="J170" s="39">
        <f t="shared" si="22"/>
        <v>0.66666666666666663</v>
      </c>
      <c r="K170" s="39">
        <f t="shared" si="23"/>
        <v>1</v>
      </c>
      <c r="L170" s="39">
        <f t="shared" si="24"/>
        <v>0.33333333333333331</v>
      </c>
    </row>
    <row r="171" spans="1:14" ht="15.75" thickBot="1" x14ac:dyDescent="0.3">
      <c r="A171" s="34">
        <v>90</v>
      </c>
      <c r="B171" s="34">
        <v>3309</v>
      </c>
      <c r="C171" s="34" t="s">
        <v>278</v>
      </c>
      <c r="D171" s="34">
        <v>0</v>
      </c>
      <c r="E171" s="34">
        <v>1</v>
      </c>
      <c r="G171" s="34">
        <v>5654</v>
      </c>
      <c r="H171" s="39">
        <f t="shared" si="20"/>
        <v>5</v>
      </c>
      <c r="I171" s="39">
        <f t="shared" si="21"/>
        <v>3</v>
      </c>
      <c r="J171" s="39">
        <f t="shared" si="22"/>
        <v>0.6</v>
      </c>
      <c r="K171" s="39">
        <f t="shared" si="23"/>
        <v>2</v>
      </c>
      <c r="L171" s="39">
        <f t="shared" si="24"/>
        <v>0.4</v>
      </c>
    </row>
    <row r="172" spans="1:14" ht="15.75" thickBot="1" x14ac:dyDescent="0.3">
      <c r="A172" s="35">
        <v>81</v>
      </c>
      <c r="B172" s="35">
        <v>3309</v>
      </c>
      <c r="C172" s="35" t="s">
        <v>278</v>
      </c>
      <c r="D172" s="35">
        <v>0</v>
      </c>
      <c r="E172" s="35">
        <v>2</v>
      </c>
      <c r="G172" s="34">
        <v>3140</v>
      </c>
      <c r="H172" s="39">
        <f t="shared" si="20"/>
        <v>2</v>
      </c>
      <c r="I172" s="39">
        <f t="shared" si="21"/>
        <v>1</v>
      </c>
      <c r="J172" s="39">
        <f t="shared" si="22"/>
        <v>0.5</v>
      </c>
      <c r="K172" s="39">
        <f t="shared" si="23"/>
        <v>2</v>
      </c>
      <c r="L172" s="39">
        <f t="shared" si="24"/>
        <v>1</v>
      </c>
    </row>
    <row r="173" spans="1:14" ht="15.75" thickBot="1" x14ac:dyDescent="0.3">
      <c r="A173" s="34">
        <v>93</v>
      </c>
      <c r="B173" s="34">
        <v>5997</v>
      </c>
      <c r="C173" s="34" t="s">
        <v>278</v>
      </c>
      <c r="D173" s="34">
        <v>0</v>
      </c>
      <c r="E173" s="34">
        <v>1</v>
      </c>
      <c r="G173" s="34">
        <v>2905</v>
      </c>
      <c r="H173" s="39">
        <f t="shared" si="20"/>
        <v>2</v>
      </c>
      <c r="I173" s="39">
        <f t="shared" si="21"/>
        <v>1</v>
      </c>
      <c r="J173" s="39">
        <f t="shared" si="22"/>
        <v>0.5</v>
      </c>
      <c r="K173" s="39">
        <f t="shared" si="23"/>
        <v>1</v>
      </c>
      <c r="L173" s="39">
        <f t="shared" si="24"/>
        <v>0.5</v>
      </c>
    </row>
    <row r="174" spans="1:14" ht="15.75" thickBot="1" x14ac:dyDescent="0.3">
      <c r="A174" s="35">
        <v>12</v>
      </c>
      <c r="B174" s="35">
        <v>2905</v>
      </c>
      <c r="C174" s="35" t="s">
        <v>278</v>
      </c>
      <c r="D174" s="35">
        <v>0</v>
      </c>
      <c r="E174" s="35">
        <v>1</v>
      </c>
      <c r="G174" s="34">
        <v>5104</v>
      </c>
      <c r="H174" s="39">
        <f t="shared" si="20"/>
        <v>2</v>
      </c>
      <c r="I174" s="39">
        <f t="shared" si="21"/>
        <v>1</v>
      </c>
      <c r="J174" s="39">
        <f t="shared" si="22"/>
        <v>0.5</v>
      </c>
      <c r="K174" s="39">
        <f t="shared" si="23"/>
        <v>1</v>
      </c>
      <c r="L174" s="39">
        <f t="shared" si="24"/>
        <v>0.5</v>
      </c>
    </row>
    <row r="175" spans="1:14" ht="15.75" thickBot="1" x14ac:dyDescent="0.3">
      <c r="A175" s="34">
        <v>53</v>
      </c>
      <c r="B175" s="34">
        <v>5104</v>
      </c>
      <c r="C175" s="34" t="s">
        <v>278</v>
      </c>
      <c r="D175" s="34">
        <v>0</v>
      </c>
      <c r="E175" s="34">
        <v>1</v>
      </c>
      <c r="G175" s="35">
        <v>5554</v>
      </c>
      <c r="H175" s="39">
        <f t="shared" si="20"/>
        <v>2</v>
      </c>
      <c r="I175" s="39">
        <f t="shared" si="21"/>
        <v>1</v>
      </c>
      <c r="J175" s="39">
        <f t="shared" si="22"/>
        <v>0.5</v>
      </c>
      <c r="K175" s="39">
        <f t="shared" si="23"/>
        <v>1</v>
      </c>
      <c r="L175" s="39">
        <f t="shared" si="24"/>
        <v>0.5</v>
      </c>
    </row>
    <row r="176" spans="1:14" ht="15.75" thickBot="1" x14ac:dyDescent="0.3">
      <c r="A176" s="35">
        <v>40</v>
      </c>
      <c r="B176" s="35">
        <v>5663</v>
      </c>
      <c r="C176" s="35" t="s">
        <v>278</v>
      </c>
      <c r="D176" s="35">
        <v>0</v>
      </c>
      <c r="E176" s="35">
        <v>1</v>
      </c>
      <c r="G176" s="34">
        <v>5997</v>
      </c>
      <c r="H176" s="39">
        <f t="shared" si="20"/>
        <v>2</v>
      </c>
      <c r="I176" s="39">
        <f t="shared" si="21"/>
        <v>1</v>
      </c>
      <c r="J176" s="39">
        <f t="shared" si="22"/>
        <v>0.5</v>
      </c>
      <c r="K176" s="39">
        <f t="shared" si="23"/>
        <v>1</v>
      </c>
      <c r="L176" s="39">
        <f t="shared" si="24"/>
        <v>0.5</v>
      </c>
    </row>
    <row r="177" spans="1:12" x14ac:dyDescent="0.25">
      <c r="A177" s="34">
        <v>105</v>
      </c>
      <c r="B177" s="34">
        <v>6424</v>
      </c>
      <c r="C177" s="34" t="s">
        <v>278</v>
      </c>
      <c r="D177" s="34">
        <v>0</v>
      </c>
      <c r="E177" s="34">
        <v>1</v>
      </c>
      <c r="G177" s="35">
        <v>3309</v>
      </c>
      <c r="H177" s="39">
        <f t="shared" si="20"/>
        <v>4</v>
      </c>
      <c r="I177" s="39">
        <f t="shared" si="21"/>
        <v>1</v>
      </c>
      <c r="J177" s="39">
        <f t="shared" si="22"/>
        <v>0.25</v>
      </c>
      <c r="K177" s="39">
        <f t="shared" si="23"/>
        <v>4</v>
      </c>
      <c r="L177" s="39">
        <f t="shared" si="24"/>
        <v>1</v>
      </c>
    </row>
    <row r="178" spans="1:12" hidden="1" x14ac:dyDescent="0.25">
      <c r="A178" s="35">
        <v>64</v>
      </c>
      <c r="B178" s="35">
        <v>968</v>
      </c>
      <c r="C178" s="35" t="s">
        <v>278</v>
      </c>
      <c r="D178" s="35">
        <v>0</v>
      </c>
      <c r="E178" s="35">
        <v>1</v>
      </c>
      <c r="G178" s="34">
        <v>6429</v>
      </c>
      <c r="H178" s="39">
        <f t="shared" si="20"/>
        <v>0</v>
      </c>
      <c r="I178" s="39">
        <f t="shared" si="21"/>
        <v>0</v>
      </c>
      <c r="J178" s="39" t="e">
        <f t="shared" si="22"/>
        <v>#DIV/0!</v>
      </c>
      <c r="K178" s="39">
        <f t="shared" si="23"/>
        <v>0</v>
      </c>
      <c r="L178" s="39" t="e">
        <f t="shared" si="24"/>
        <v>#DIV/0!</v>
      </c>
    </row>
    <row r="179" spans="1:12" hidden="1" x14ac:dyDescent="0.25">
      <c r="G179" s="38"/>
      <c r="I179" s="39"/>
      <c r="J179" s="39"/>
    </row>
    <row r="180" spans="1:12" hidden="1" x14ac:dyDescent="0.25"/>
    <row r="181" spans="1:12" hidden="1" x14ac:dyDescent="0.25"/>
  </sheetData>
  <autoFilter ref="G1:L181" xr:uid="{9BF5BB09-E958-4764-8A7F-6E46EE6B4F9A}">
    <filterColumn colId="3">
      <filters>
        <filter val="0.25"/>
        <filter val="0.5"/>
        <filter val="0.6"/>
        <filter val="0.666666667"/>
        <filter val="0.75"/>
        <filter val="0.8"/>
        <filter val="0.833333333"/>
        <filter val="1"/>
        <filter val="1.125"/>
        <filter val="1.222222222"/>
        <filter val="1.285714286"/>
        <filter val="1.555555556"/>
        <filter val="1.8"/>
        <filter val="1.888888889"/>
        <filter val="2"/>
      </filters>
    </filterColumn>
    <sortState ref="G132:L178">
      <sortCondition descending="1" ref="J1:J181"/>
    </sortState>
  </autoFilter>
  <sortState ref="G2:G178">
    <sortCondition ref="G178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27D37-25A8-4C90-A1AE-5FB93A457627}">
  <dimension ref="A1:M59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2" max="3" width="9.140625" style="39"/>
    <col min="9" max="9" width="9.140625" style="39"/>
  </cols>
  <sheetData>
    <row r="1" spans="1:13" ht="30.75" thickBot="1" x14ac:dyDescent="0.3">
      <c r="A1" s="36" t="s">
        <v>280</v>
      </c>
      <c r="B1" s="36" t="s">
        <v>293</v>
      </c>
      <c r="C1" s="36" t="s">
        <v>284</v>
      </c>
      <c r="D1" s="36" t="s">
        <v>289</v>
      </c>
      <c r="E1" s="36" t="s">
        <v>290</v>
      </c>
      <c r="F1" s="36" t="s">
        <v>291</v>
      </c>
      <c r="G1" s="36" t="s">
        <v>292</v>
      </c>
      <c r="L1" t="s">
        <v>280</v>
      </c>
      <c r="M1" t="s">
        <v>294</v>
      </c>
    </row>
    <row r="2" spans="1:13" ht="15.75" thickBot="1" x14ac:dyDescent="0.3">
      <c r="A2">
        <v>1678</v>
      </c>
      <c r="B2" s="39">
        <f>VLOOKUP(A2,L:M,2,FALSE)</f>
        <v>4</v>
      </c>
      <c r="C2" s="39">
        <v>4</v>
      </c>
      <c r="D2">
        <v>8</v>
      </c>
      <c r="E2">
        <v>2</v>
      </c>
      <c r="F2">
        <v>0</v>
      </c>
      <c r="G2">
        <v>0</v>
      </c>
      <c r="L2" s="34">
        <v>1011</v>
      </c>
      <c r="M2" s="34">
        <v>10</v>
      </c>
    </row>
    <row r="3" spans="1:13" ht="15.75" thickBot="1" x14ac:dyDescent="0.3">
      <c r="A3">
        <v>3310</v>
      </c>
      <c r="B3" s="39">
        <f>VLOOKUP(A3,L:M,2,FALSE)</f>
        <v>2</v>
      </c>
      <c r="C3" s="39">
        <v>1</v>
      </c>
      <c r="D3">
        <v>2</v>
      </c>
      <c r="E3">
        <v>2</v>
      </c>
      <c r="F3">
        <v>0</v>
      </c>
      <c r="G3">
        <v>0</v>
      </c>
      <c r="L3" s="35">
        <v>2403</v>
      </c>
      <c r="M3" s="35">
        <v>9</v>
      </c>
    </row>
    <row r="4" spans="1:13" ht="15.75" thickBot="1" x14ac:dyDescent="0.3">
      <c r="A4">
        <v>2403</v>
      </c>
      <c r="B4" s="39">
        <f>VLOOKUP(A4,L:M,2,FALSE)</f>
        <v>9</v>
      </c>
      <c r="C4" s="39">
        <v>9</v>
      </c>
      <c r="D4">
        <v>17</v>
      </c>
      <c r="E4">
        <v>1.8888888888888888</v>
      </c>
      <c r="F4">
        <v>1</v>
      </c>
      <c r="G4">
        <v>0.1111111111111111</v>
      </c>
      <c r="L4" s="34">
        <v>3128</v>
      </c>
      <c r="M4" s="34">
        <v>9</v>
      </c>
    </row>
    <row r="5" spans="1:13" ht="15.75" thickBot="1" x14ac:dyDescent="0.3">
      <c r="A5">
        <v>687</v>
      </c>
      <c r="B5" s="39">
        <f>VLOOKUP(A5,L:M,2,FALSE)</f>
        <v>5</v>
      </c>
      <c r="C5" s="39">
        <v>5</v>
      </c>
      <c r="D5">
        <v>9</v>
      </c>
      <c r="E5">
        <v>1.8</v>
      </c>
      <c r="F5">
        <v>0</v>
      </c>
      <c r="G5">
        <v>0</v>
      </c>
      <c r="L5" s="35">
        <v>1619</v>
      </c>
      <c r="M5" s="35">
        <v>7</v>
      </c>
    </row>
    <row r="6" spans="1:13" ht="15.75" thickBot="1" x14ac:dyDescent="0.3">
      <c r="A6">
        <v>1011</v>
      </c>
      <c r="B6" s="39">
        <f>VLOOKUP(A6,L:M,2,FALSE)</f>
        <v>10</v>
      </c>
      <c r="C6" s="39">
        <v>9</v>
      </c>
      <c r="D6">
        <v>14</v>
      </c>
      <c r="E6">
        <v>1.5555555555555556</v>
      </c>
      <c r="F6">
        <v>1</v>
      </c>
      <c r="G6">
        <v>0.1111111111111111</v>
      </c>
      <c r="L6" s="34">
        <v>6508</v>
      </c>
      <c r="M6" s="34">
        <v>7</v>
      </c>
    </row>
    <row r="7" spans="1:13" ht="15.75" thickBot="1" x14ac:dyDescent="0.3">
      <c r="A7">
        <v>1619</v>
      </c>
      <c r="B7" s="39">
        <f>VLOOKUP(A7,L:M,2,FALSE)</f>
        <v>7</v>
      </c>
      <c r="C7" s="39">
        <v>7</v>
      </c>
      <c r="D7">
        <v>9</v>
      </c>
      <c r="E7">
        <v>1.2857142857142858</v>
      </c>
      <c r="F7">
        <v>0</v>
      </c>
      <c r="G7">
        <v>0</v>
      </c>
      <c r="L7" s="35">
        <v>3481</v>
      </c>
      <c r="M7" s="35">
        <v>7</v>
      </c>
    </row>
    <row r="8" spans="1:13" ht="15.75" thickBot="1" x14ac:dyDescent="0.3">
      <c r="A8">
        <v>3128</v>
      </c>
      <c r="B8" s="39">
        <f>VLOOKUP(A8,L:M,2,FALSE)</f>
        <v>9</v>
      </c>
      <c r="C8" s="39">
        <v>9</v>
      </c>
      <c r="D8">
        <v>11</v>
      </c>
      <c r="E8">
        <v>1.2222222222222223</v>
      </c>
      <c r="F8">
        <v>3</v>
      </c>
      <c r="G8">
        <v>0.33333333333333331</v>
      </c>
      <c r="L8" s="34">
        <v>832</v>
      </c>
      <c r="M8" s="34">
        <v>7</v>
      </c>
    </row>
    <row r="9" spans="1:13" ht="15.75" thickBot="1" x14ac:dyDescent="0.3">
      <c r="A9">
        <v>3481</v>
      </c>
      <c r="B9" s="39">
        <f>VLOOKUP(A9,L:M,2,FALSE)</f>
        <v>7</v>
      </c>
      <c r="C9" s="39">
        <v>8</v>
      </c>
      <c r="D9">
        <v>9</v>
      </c>
      <c r="E9">
        <v>1.125</v>
      </c>
      <c r="F9">
        <v>0</v>
      </c>
      <c r="G9">
        <v>0</v>
      </c>
      <c r="L9" s="35">
        <v>6510</v>
      </c>
      <c r="M9" s="35">
        <v>7</v>
      </c>
    </row>
    <row r="10" spans="1:13" ht="15.75" thickBot="1" x14ac:dyDescent="0.3">
      <c r="A10">
        <v>6508</v>
      </c>
      <c r="B10" s="39">
        <f>VLOOKUP(A10,L:M,2,FALSE)</f>
        <v>7</v>
      </c>
      <c r="C10" s="39">
        <v>7</v>
      </c>
      <c r="D10">
        <v>7</v>
      </c>
      <c r="E10">
        <v>1</v>
      </c>
      <c r="F10">
        <v>0</v>
      </c>
      <c r="G10">
        <v>0</v>
      </c>
      <c r="L10" s="34">
        <v>1982</v>
      </c>
      <c r="M10" s="34">
        <v>7</v>
      </c>
    </row>
    <row r="11" spans="1:13" ht="15.75" thickBot="1" x14ac:dyDescent="0.3">
      <c r="A11">
        <v>1251</v>
      </c>
      <c r="B11" s="39">
        <f>VLOOKUP(A11,L:M,2,FALSE)</f>
        <v>6</v>
      </c>
      <c r="C11" s="39">
        <v>6</v>
      </c>
      <c r="D11">
        <v>6</v>
      </c>
      <c r="E11">
        <v>1</v>
      </c>
      <c r="F11">
        <v>3</v>
      </c>
      <c r="G11">
        <v>0.5</v>
      </c>
      <c r="L11" s="35">
        <v>3501</v>
      </c>
      <c r="M11" s="35">
        <v>6</v>
      </c>
    </row>
    <row r="12" spans="1:13" ht="15.75" thickBot="1" x14ac:dyDescent="0.3">
      <c r="A12">
        <v>1982</v>
      </c>
      <c r="B12" s="39">
        <f>VLOOKUP(A12,L:M,2,FALSE)</f>
        <v>7</v>
      </c>
      <c r="C12" s="39">
        <v>6</v>
      </c>
      <c r="D12">
        <v>6</v>
      </c>
      <c r="E12">
        <v>1</v>
      </c>
      <c r="F12">
        <v>0</v>
      </c>
      <c r="G12">
        <v>0</v>
      </c>
      <c r="L12" s="34">
        <v>5199</v>
      </c>
      <c r="M12" s="34">
        <v>6</v>
      </c>
    </row>
    <row r="13" spans="1:13" ht="15.75" thickBot="1" x14ac:dyDescent="0.3">
      <c r="A13">
        <v>3501</v>
      </c>
      <c r="B13" s="39">
        <f>VLOOKUP(A13,L:M,2,FALSE)</f>
        <v>6</v>
      </c>
      <c r="C13" s="39">
        <v>6</v>
      </c>
      <c r="D13">
        <v>6</v>
      </c>
      <c r="E13">
        <v>1</v>
      </c>
      <c r="F13">
        <v>0</v>
      </c>
      <c r="G13">
        <v>0</v>
      </c>
      <c r="L13" s="35">
        <v>4061</v>
      </c>
      <c r="M13" s="35">
        <v>6</v>
      </c>
    </row>
    <row r="14" spans="1:13" ht="15.75" thickBot="1" x14ac:dyDescent="0.3">
      <c r="A14">
        <v>4061</v>
      </c>
      <c r="B14" s="39">
        <f>VLOOKUP(A14,L:M,2,FALSE)</f>
        <v>6</v>
      </c>
      <c r="C14" s="39">
        <v>6</v>
      </c>
      <c r="D14">
        <v>6</v>
      </c>
      <c r="E14">
        <v>1</v>
      </c>
      <c r="F14">
        <v>0</v>
      </c>
      <c r="G14">
        <v>0</v>
      </c>
      <c r="L14" s="34">
        <v>1251</v>
      </c>
      <c r="M14" s="34">
        <v>6</v>
      </c>
    </row>
    <row r="15" spans="1:13" ht="15.75" thickBot="1" x14ac:dyDescent="0.3">
      <c r="A15">
        <v>5199</v>
      </c>
      <c r="B15" s="39">
        <f>VLOOKUP(A15,L:M,2,FALSE)</f>
        <v>6</v>
      </c>
      <c r="C15" s="39">
        <v>6</v>
      </c>
      <c r="D15">
        <v>6</v>
      </c>
      <c r="E15">
        <v>1</v>
      </c>
      <c r="F15">
        <v>0</v>
      </c>
      <c r="G15">
        <v>0</v>
      </c>
      <c r="L15" s="35">
        <v>968</v>
      </c>
      <c r="M15" s="35">
        <v>6</v>
      </c>
    </row>
    <row r="16" spans="1:13" ht="15.75" thickBot="1" x14ac:dyDescent="0.3">
      <c r="A16">
        <v>6510</v>
      </c>
      <c r="B16" s="39">
        <f>VLOOKUP(A16,L:M,2,FALSE)</f>
        <v>7</v>
      </c>
      <c r="C16" s="39">
        <v>6</v>
      </c>
      <c r="D16">
        <v>6</v>
      </c>
      <c r="E16">
        <v>1</v>
      </c>
      <c r="F16">
        <v>0</v>
      </c>
      <c r="G16">
        <v>0</v>
      </c>
      <c r="L16" s="34">
        <v>5654</v>
      </c>
      <c r="M16" s="34">
        <v>6</v>
      </c>
    </row>
    <row r="17" spans="1:13" ht="15.75" thickBot="1" x14ac:dyDescent="0.3">
      <c r="A17">
        <v>624</v>
      </c>
      <c r="B17" s="39">
        <f>VLOOKUP(A17,L:M,2,FALSE)</f>
        <v>6</v>
      </c>
      <c r="C17" s="39">
        <v>5</v>
      </c>
      <c r="D17">
        <v>5</v>
      </c>
      <c r="E17">
        <v>1</v>
      </c>
      <c r="F17">
        <v>0</v>
      </c>
      <c r="G17">
        <v>0</v>
      </c>
      <c r="L17" s="35">
        <v>624</v>
      </c>
      <c r="M17" s="35">
        <v>6</v>
      </c>
    </row>
    <row r="18" spans="1:13" ht="15.75" thickBot="1" x14ac:dyDescent="0.3">
      <c r="A18">
        <v>4513</v>
      </c>
      <c r="B18" s="39">
        <f>VLOOKUP(A18,L:M,2,FALSE)</f>
        <v>5</v>
      </c>
      <c r="C18" s="39">
        <v>5</v>
      </c>
      <c r="D18">
        <v>5</v>
      </c>
      <c r="E18">
        <v>1</v>
      </c>
      <c r="F18">
        <v>0</v>
      </c>
      <c r="G18">
        <v>0</v>
      </c>
      <c r="L18" s="34">
        <v>604</v>
      </c>
      <c r="M18" s="34">
        <v>6</v>
      </c>
    </row>
    <row r="19" spans="1:13" ht="15.75" thickBot="1" x14ac:dyDescent="0.3">
      <c r="A19">
        <v>1723</v>
      </c>
      <c r="B19" s="39">
        <f>VLOOKUP(A19,L:M,2,FALSE)</f>
        <v>4</v>
      </c>
      <c r="C19" s="39">
        <v>4</v>
      </c>
      <c r="D19">
        <v>4</v>
      </c>
      <c r="E19">
        <v>1</v>
      </c>
      <c r="F19">
        <v>1</v>
      </c>
      <c r="G19">
        <v>0.25</v>
      </c>
      <c r="L19" s="35">
        <v>4513</v>
      </c>
      <c r="M19" s="35">
        <v>5</v>
      </c>
    </row>
    <row r="20" spans="1:13" ht="15.75" thickBot="1" x14ac:dyDescent="0.3">
      <c r="A20">
        <v>118</v>
      </c>
      <c r="B20" s="39">
        <f>VLOOKUP(A20,L:M,2,FALSE)</f>
        <v>5</v>
      </c>
      <c r="C20" s="39">
        <v>4</v>
      </c>
      <c r="D20">
        <v>4</v>
      </c>
      <c r="E20">
        <v>1</v>
      </c>
      <c r="F20">
        <v>0</v>
      </c>
      <c r="G20">
        <v>0</v>
      </c>
      <c r="L20" s="34">
        <v>118</v>
      </c>
      <c r="M20" s="34">
        <v>5</v>
      </c>
    </row>
    <row r="21" spans="1:13" ht="15.75" thickBot="1" x14ac:dyDescent="0.3">
      <c r="A21">
        <v>1648</v>
      </c>
      <c r="B21" s="39">
        <f>VLOOKUP(A21,L:M,2,FALSE)</f>
        <v>4</v>
      </c>
      <c r="C21" s="39">
        <v>4</v>
      </c>
      <c r="D21">
        <v>4</v>
      </c>
      <c r="E21">
        <v>1</v>
      </c>
      <c r="F21">
        <v>0</v>
      </c>
      <c r="G21">
        <v>0</v>
      </c>
      <c r="L21" s="35">
        <v>687</v>
      </c>
      <c r="M21" s="35">
        <v>5</v>
      </c>
    </row>
    <row r="22" spans="1:13" ht="15.75" thickBot="1" x14ac:dyDescent="0.3">
      <c r="A22">
        <v>604</v>
      </c>
      <c r="B22" s="39">
        <f>VLOOKUP(A22,L:M,2,FALSE)</f>
        <v>6</v>
      </c>
      <c r="C22" s="39">
        <v>3</v>
      </c>
      <c r="D22">
        <v>3</v>
      </c>
      <c r="E22">
        <v>1</v>
      </c>
      <c r="F22">
        <v>0</v>
      </c>
      <c r="G22">
        <v>0</v>
      </c>
      <c r="L22" s="34">
        <v>1678</v>
      </c>
      <c r="M22" s="34">
        <v>4</v>
      </c>
    </row>
    <row r="23" spans="1:13" ht="15.75" thickBot="1" x14ac:dyDescent="0.3">
      <c r="A23">
        <v>2367</v>
      </c>
      <c r="B23" s="39">
        <f>VLOOKUP(A23,L:M,2,FALSE)</f>
        <v>3</v>
      </c>
      <c r="C23" s="39">
        <v>3</v>
      </c>
      <c r="D23">
        <v>3</v>
      </c>
      <c r="E23">
        <v>1</v>
      </c>
      <c r="F23">
        <v>0</v>
      </c>
      <c r="G23">
        <v>0</v>
      </c>
      <c r="L23" s="35">
        <v>1723</v>
      </c>
      <c r="M23" s="35">
        <v>4</v>
      </c>
    </row>
    <row r="24" spans="1:13" ht="15.75" thickBot="1" x14ac:dyDescent="0.3">
      <c r="A24">
        <v>3158</v>
      </c>
      <c r="B24" s="39">
        <f>VLOOKUP(A24,L:M,2,FALSE)</f>
        <v>3</v>
      </c>
      <c r="C24" s="39">
        <v>3</v>
      </c>
      <c r="D24">
        <v>3</v>
      </c>
      <c r="E24">
        <v>1</v>
      </c>
      <c r="F24">
        <v>0</v>
      </c>
      <c r="G24">
        <v>0</v>
      </c>
      <c r="L24" s="34">
        <v>1648</v>
      </c>
      <c r="M24" s="34">
        <v>4</v>
      </c>
    </row>
    <row r="25" spans="1:13" ht="15.75" thickBot="1" x14ac:dyDescent="0.3">
      <c r="A25">
        <v>3737</v>
      </c>
      <c r="B25" s="39">
        <f>VLOOKUP(A25,L:M,2,FALSE)</f>
        <v>3</v>
      </c>
      <c r="C25" s="39">
        <v>3</v>
      </c>
      <c r="D25">
        <v>3</v>
      </c>
      <c r="E25">
        <v>1</v>
      </c>
      <c r="F25">
        <v>0</v>
      </c>
      <c r="G25">
        <v>0</v>
      </c>
      <c r="L25" s="35">
        <v>5997</v>
      </c>
      <c r="M25" s="35">
        <v>4</v>
      </c>
    </row>
    <row r="26" spans="1:13" ht="15.75" thickBot="1" x14ac:dyDescent="0.3">
      <c r="A26">
        <v>6474</v>
      </c>
      <c r="B26" s="39">
        <f>VLOOKUP(A26,L:M,2,FALSE)</f>
        <v>3</v>
      </c>
      <c r="C26" s="39">
        <v>3</v>
      </c>
      <c r="D26">
        <v>3</v>
      </c>
      <c r="E26">
        <v>1</v>
      </c>
      <c r="F26">
        <v>0</v>
      </c>
      <c r="G26">
        <v>0</v>
      </c>
      <c r="L26" s="34">
        <v>6377</v>
      </c>
      <c r="M26" s="34">
        <v>4</v>
      </c>
    </row>
    <row r="27" spans="1:13" ht="15.75" thickBot="1" x14ac:dyDescent="0.3">
      <c r="A27">
        <v>812</v>
      </c>
      <c r="B27" s="39">
        <f>VLOOKUP(A27,L:M,2,FALSE)</f>
        <v>1</v>
      </c>
      <c r="C27" s="39">
        <v>1</v>
      </c>
      <c r="D27">
        <v>1</v>
      </c>
      <c r="E27">
        <v>1</v>
      </c>
      <c r="F27">
        <v>0</v>
      </c>
      <c r="G27">
        <v>0</v>
      </c>
      <c r="L27" s="35">
        <v>3309</v>
      </c>
      <c r="M27" s="35">
        <v>4</v>
      </c>
    </row>
    <row r="28" spans="1:13" ht="15.75" thickBot="1" x14ac:dyDescent="0.3">
      <c r="A28">
        <v>1868</v>
      </c>
      <c r="B28" s="39">
        <f>VLOOKUP(A28,L:M,2,FALSE)</f>
        <v>2</v>
      </c>
      <c r="C28" s="39">
        <v>1</v>
      </c>
      <c r="D28">
        <v>1</v>
      </c>
      <c r="E28">
        <v>1</v>
      </c>
      <c r="F28">
        <v>0</v>
      </c>
      <c r="G28">
        <v>0</v>
      </c>
      <c r="L28" s="34">
        <v>5663</v>
      </c>
      <c r="M28" s="34">
        <v>4</v>
      </c>
    </row>
    <row r="29" spans="1:13" ht="15.75" thickBot="1" x14ac:dyDescent="0.3">
      <c r="A29">
        <v>3164</v>
      </c>
      <c r="B29" s="39">
        <f>VLOOKUP(A29,L:M,2,FALSE)</f>
        <v>2</v>
      </c>
      <c r="C29" s="39">
        <v>1</v>
      </c>
      <c r="D29">
        <v>1</v>
      </c>
      <c r="E29">
        <v>1</v>
      </c>
      <c r="F29">
        <v>0</v>
      </c>
      <c r="G29">
        <v>0</v>
      </c>
      <c r="L29" s="35">
        <v>5104</v>
      </c>
      <c r="M29" s="35">
        <v>4</v>
      </c>
    </row>
    <row r="30" spans="1:13" ht="15.75" thickBot="1" x14ac:dyDescent="0.3">
      <c r="A30">
        <v>3473</v>
      </c>
      <c r="B30" s="39">
        <f>VLOOKUP(A30,L:M,2,FALSE)</f>
        <v>2</v>
      </c>
      <c r="C30" s="39">
        <v>1</v>
      </c>
      <c r="D30">
        <v>1</v>
      </c>
      <c r="E30">
        <v>1</v>
      </c>
      <c r="F30">
        <v>0</v>
      </c>
      <c r="G30">
        <v>0</v>
      </c>
      <c r="L30" s="34">
        <v>3158</v>
      </c>
      <c r="M30" s="34">
        <v>3</v>
      </c>
    </row>
    <row r="31" spans="1:13" ht="15.75" thickBot="1" x14ac:dyDescent="0.3">
      <c r="A31">
        <v>4468</v>
      </c>
      <c r="B31" s="39">
        <f>VLOOKUP(A31,L:M,2,FALSE)</f>
        <v>2</v>
      </c>
      <c r="C31" s="39">
        <v>1</v>
      </c>
      <c r="D31">
        <v>1</v>
      </c>
      <c r="E31">
        <v>1</v>
      </c>
      <c r="F31">
        <v>0</v>
      </c>
      <c r="G31">
        <v>0</v>
      </c>
      <c r="L31" s="35">
        <v>2905</v>
      </c>
      <c r="M31" s="35">
        <v>3</v>
      </c>
    </row>
    <row r="32" spans="1:13" ht="15.75" thickBot="1" x14ac:dyDescent="0.3">
      <c r="A32">
        <v>5802</v>
      </c>
      <c r="B32" s="39">
        <f>VLOOKUP(A32,L:M,2,FALSE)</f>
        <v>2</v>
      </c>
      <c r="C32" s="39">
        <v>1</v>
      </c>
      <c r="D32">
        <v>1</v>
      </c>
      <c r="E32">
        <v>1</v>
      </c>
      <c r="F32">
        <v>0</v>
      </c>
      <c r="G32">
        <v>0</v>
      </c>
      <c r="L32" s="34">
        <v>3737</v>
      </c>
      <c r="M32" s="34">
        <v>3</v>
      </c>
    </row>
    <row r="33" spans="1:13" ht="15.75" thickBot="1" x14ac:dyDescent="0.3">
      <c r="A33">
        <v>6424</v>
      </c>
      <c r="B33" s="39">
        <f>VLOOKUP(A33,L:M,2,FALSE)</f>
        <v>2</v>
      </c>
      <c r="C33" s="39">
        <v>2</v>
      </c>
      <c r="D33">
        <v>1</v>
      </c>
      <c r="E33">
        <v>0.5</v>
      </c>
      <c r="F33">
        <v>1</v>
      </c>
      <c r="G33">
        <v>0.5</v>
      </c>
      <c r="L33" s="35">
        <v>2980</v>
      </c>
      <c r="M33" s="35">
        <v>3</v>
      </c>
    </row>
    <row r="34" spans="1:13" ht="15.75" thickBot="1" x14ac:dyDescent="0.3">
      <c r="A34">
        <v>832</v>
      </c>
      <c r="B34" s="39">
        <f>VLOOKUP(A34,L:M,2,FALSE)</f>
        <v>7</v>
      </c>
      <c r="C34" s="39">
        <v>6</v>
      </c>
      <c r="D34">
        <v>5</v>
      </c>
      <c r="E34">
        <v>0.83333333333333337</v>
      </c>
      <c r="F34">
        <v>1</v>
      </c>
      <c r="G34">
        <v>0.16666666666666666</v>
      </c>
      <c r="L34" s="34">
        <v>6474</v>
      </c>
      <c r="M34" s="34">
        <v>3</v>
      </c>
    </row>
    <row r="35" spans="1:13" ht="15.75" thickBot="1" x14ac:dyDescent="0.3">
      <c r="A35">
        <v>968</v>
      </c>
      <c r="B35" s="39">
        <f>VLOOKUP(A35,L:M,2,FALSE)</f>
        <v>6</v>
      </c>
      <c r="C35" s="39">
        <v>4</v>
      </c>
      <c r="D35">
        <v>3</v>
      </c>
      <c r="E35">
        <v>0.75</v>
      </c>
      <c r="F35">
        <v>1</v>
      </c>
      <c r="G35">
        <v>0.25</v>
      </c>
      <c r="L35" s="35">
        <v>3140</v>
      </c>
      <c r="M35" s="35">
        <v>3</v>
      </c>
    </row>
    <row r="36" spans="1:13" ht="15.75" thickBot="1" x14ac:dyDescent="0.3">
      <c r="A36">
        <v>5663</v>
      </c>
      <c r="B36" s="39">
        <f>VLOOKUP(A36,L:M,2,FALSE)</f>
        <v>4</v>
      </c>
      <c r="C36" s="39">
        <v>5</v>
      </c>
      <c r="D36">
        <v>4</v>
      </c>
      <c r="E36">
        <v>0.8</v>
      </c>
      <c r="F36">
        <v>1</v>
      </c>
      <c r="G36">
        <v>0.2</v>
      </c>
      <c r="L36" s="34">
        <v>2367</v>
      </c>
      <c r="M36" s="34">
        <v>3</v>
      </c>
    </row>
    <row r="37" spans="1:13" ht="15.75" thickBot="1" x14ac:dyDescent="0.3">
      <c r="A37">
        <v>6377</v>
      </c>
      <c r="B37" s="39">
        <f>VLOOKUP(A37,L:M,2,FALSE)</f>
        <v>4</v>
      </c>
      <c r="C37" s="39">
        <v>3</v>
      </c>
      <c r="D37">
        <v>2</v>
      </c>
      <c r="E37">
        <v>0.66666666666666663</v>
      </c>
      <c r="F37">
        <v>1</v>
      </c>
      <c r="G37">
        <v>0.33333333333333331</v>
      </c>
      <c r="L37" s="35">
        <v>5849</v>
      </c>
      <c r="M37" s="35">
        <v>2</v>
      </c>
    </row>
    <row r="38" spans="1:13" ht="15.75" thickBot="1" x14ac:dyDescent="0.3">
      <c r="A38">
        <v>5654</v>
      </c>
      <c r="B38" s="39">
        <f>VLOOKUP(A38,L:M,2,FALSE)</f>
        <v>6</v>
      </c>
      <c r="C38" s="39">
        <v>5</v>
      </c>
      <c r="D38">
        <v>3</v>
      </c>
      <c r="E38">
        <v>0.6</v>
      </c>
      <c r="F38">
        <v>2</v>
      </c>
      <c r="G38">
        <v>0.4</v>
      </c>
      <c r="L38" s="34">
        <v>5700</v>
      </c>
      <c r="M38" s="34">
        <v>2</v>
      </c>
    </row>
    <row r="39" spans="1:13" ht="15.75" thickBot="1" x14ac:dyDescent="0.3">
      <c r="A39">
        <v>3140</v>
      </c>
      <c r="B39" s="39">
        <f>VLOOKUP(A39,L:M,2,FALSE)</f>
        <v>3</v>
      </c>
      <c r="C39" s="39">
        <v>2</v>
      </c>
      <c r="D39">
        <v>1</v>
      </c>
      <c r="E39">
        <v>0.5</v>
      </c>
      <c r="F39">
        <v>2</v>
      </c>
      <c r="G39">
        <v>1</v>
      </c>
      <c r="L39" s="35">
        <v>6424</v>
      </c>
      <c r="M39" s="35">
        <v>2</v>
      </c>
    </row>
    <row r="40" spans="1:13" ht="15.75" thickBot="1" x14ac:dyDescent="0.3">
      <c r="A40">
        <v>2905</v>
      </c>
      <c r="B40" s="39">
        <f>VLOOKUP(A40,L:M,2,FALSE)</f>
        <v>3</v>
      </c>
      <c r="C40" s="39">
        <v>2</v>
      </c>
      <c r="D40">
        <v>1</v>
      </c>
      <c r="E40">
        <v>0.5</v>
      </c>
      <c r="F40">
        <v>1</v>
      </c>
      <c r="G40">
        <v>0.5</v>
      </c>
      <c r="L40" s="34">
        <v>5802</v>
      </c>
      <c r="M40" s="34">
        <v>2</v>
      </c>
    </row>
    <row r="41" spans="1:13" ht="15.75" thickBot="1" x14ac:dyDescent="0.3">
      <c r="A41">
        <v>5104</v>
      </c>
      <c r="B41" s="39">
        <f>VLOOKUP(A41,L:M,2,FALSE)</f>
        <v>4</v>
      </c>
      <c r="C41" s="39">
        <v>2</v>
      </c>
      <c r="D41">
        <v>1</v>
      </c>
      <c r="E41">
        <v>0.5</v>
      </c>
      <c r="F41">
        <v>1</v>
      </c>
      <c r="G41">
        <v>0.5</v>
      </c>
      <c r="L41" s="35">
        <v>5554</v>
      </c>
      <c r="M41" s="35">
        <v>2</v>
      </c>
    </row>
    <row r="42" spans="1:13" ht="15.75" thickBot="1" x14ac:dyDescent="0.3">
      <c r="A42">
        <v>5554</v>
      </c>
      <c r="B42" s="39">
        <f>VLOOKUP(A42,L:M,2,FALSE)</f>
        <v>2</v>
      </c>
      <c r="C42" s="39">
        <v>2</v>
      </c>
      <c r="D42">
        <v>1</v>
      </c>
      <c r="E42">
        <v>0.5</v>
      </c>
      <c r="F42">
        <v>1</v>
      </c>
      <c r="G42">
        <v>0.5</v>
      </c>
      <c r="L42" s="34">
        <v>4468</v>
      </c>
      <c r="M42" s="34">
        <v>2</v>
      </c>
    </row>
    <row r="43" spans="1:13" ht="15.75" thickBot="1" x14ac:dyDescent="0.3">
      <c r="A43">
        <v>5997</v>
      </c>
      <c r="B43" s="39">
        <f>VLOOKUP(A43,L:M,2,FALSE)</f>
        <v>4</v>
      </c>
      <c r="C43" s="39">
        <v>2</v>
      </c>
      <c r="D43">
        <v>1</v>
      </c>
      <c r="E43">
        <v>0.5</v>
      </c>
      <c r="F43">
        <v>1</v>
      </c>
      <c r="G43">
        <v>0.5</v>
      </c>
      <c r="L43" s="35">
        <v>3853</v>
      </c>
      <c r="M43" s="35">
        <v>2</v>
      </c>
    </row>
    <row r="44" spans="1:13" ht="15.75" thickBot="1" x14ac:dyDescent="0.3">
      <c r="A44">
        <v>3309</v>
      </c>
      <c r="B44" s="39">
        <f>VLOOKUP(A44,L:M,2,FALSE)</f>
        <v>4</v>
      </c>
      <c r="C44" s="39">
        <v>4</v>
      </c>
      <c r="D44">
        <v>1</v>
      </c>
      <c r="E44">
        <v>0.25</v>
      </c>
      <c r="F44">
        <v>4</v>
      </c>
      <c r="G44">
        <v>1</v>
      </c>
      <c r="L44" s="34">
        <v>1868</v>
      </c>
      <c r="M44" s="34">
        <v>2</v>
      </c>
    </row>
    <row r="45" spans="1:13" ht="15.75" thickBot="1" x14ac:dyDescent="0.3">
      <c r="L45" s="35">
        <v>3473</v>
      </c>
      <c r="M45" s="35">
        <v>2</v>
      </c>
    </row>
    <row r="46" spans="1:13" ht="15.75" thickBot="1" x14ac:dyDescent="0.3">
      <c r="L46" s="34">
        <v>3310</v>
      </c>
      <c r="M46" s="34">
        <v>2</v>
      </c>
    </row>
    <row r="47" spans="1:13" ht="15.75" thickBot="1" x14ac:dyDescent="0.3">
      <c r="L47" s="35">
        <v>3164</v>
      </c>
      <c r="M47" s="35">
        <v>2</v>
      </c>
    </row>
    <row r="48" spans="1:13" ht="15.75" thickBot="1" x14ac:dyDescent="0.3">
      <c r="L48" s="34">
        <v>4576</v>
      </c>
      <c r="M48" s="34">
        <v>1</v>
      </c>
    </row>
    <row r="49" spans="12:13" ht="15.75" thickBot="1" x14ac:dyDescent="0.3">
      <c r="L49" s="35">
        <v>6844</v>
      </c>
      <c r="M49" s="35">
        <v>1</v>
      </c>
    </row>
    <row r="50" spans="12:13" ht="15.75" thickBot="1" x14ac:dyDescent="0.3">
      <c r="L50" s="34">
        <v>7128</v>
      </c>
      <c r="M50" s="34">
        <v>1</v>
      </c>
    </row>
    <row r="51" spans="12:13" ht="15.75" thickBot="1" x14ac:dyDescent="0.3">
      <c r="L51" s="35">
        <v>7137</v>
      </c>
      <c r="M51" s="35">
        <v>1</v>
      </c>
    </row>
    <row r="52" spans="12:13" ht="15.75" thickBot="1" x14ac:dyDescent="0.3">
      <c r="L52" s="34">
        <v>7190</v>
      </c>
      <c r="M52" s="34">
        <v>1</v>
      </c>
    </row>
    <row r="53" spans="12:13" ht="15.75" thickBot="1" x14ac:dyDescent="0.3">
      <c r="L53" s="35">
        <v>6814</v>
      </c>
      <c r="M53" s="35">
        <v>1</v>
      </c>
    </row>
    <row r="54" spans="12:13" ht="15.75" thickBot="1" x14ac:dyDescent="0.3">
      <c r="L54" s="34">
        <v>812</v>
      </c>
      <c r="M54" s="34">
        <v>1</v>
      </c>
    </row>
    <row r="55" spans="12:13" ht="15.75" thickBot="1" x14ac:dyDescent="0.3">
      <c r="L55" s="35">
        <v>5726</v>
      </c>
      <c r="M55" s="35">
        <v>1</v>
      </c>
    </row>
    <row r="56" spans="12:13" ht="15.75" thickBot="1" x14ac:dyDescent="0.3">
      <c r="L56" s="34">
        <v>971</v>
      </c>
      <c r="M56" s="34">
        <v>1</v>
      </c>
    </row>
    <row r="57" spans="12:13" ht="15.75" thickBot="1" x14ac:dyDescent="0.3">
      <c r="L57" s="35">
        <v>3472</v>
      </c>
      <c r="M57" s="35">
        <v>1</v>
      </c>
    </row>
    <row r="58" spans="12:13" ht="15.75" thickBot="1" x14ac:dyDescent="0.3">
      <c r="L58" s="34">
        <v>4125</v>
      </c>
      <c r="M58" s="34">
        <v>1</v>
      </c>
    </row>
    <row r="59" spans="12:13" x14ac:dyDescent="0.25">
      <c r="L59" s="35">
        <v>7303</v>
      </c>
      <c r="M59" s="35">
        <v>1</v>
      </c>
    </row>
  </sheetData>
  <autoFilter ref="A1:G1" xr:uid="{B4E0E13F-9982-424C-9D91-F0F3B8AF2C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61"/>
  <sheetViews>
    <sheetView zoomScale="120" zoomScaleNormal="12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RowHeight="15" x14ac:dyDescent="0.25"/>
  <cols>
    <col min="1" max="1" width="8.140625" bestFit="1" customWidth="1"/>
    <col min="2" max="2" width="11.5703125" bestFit="1" customWidth="1"/>
    <col min="3" max="3" width="13.85546875" bestFit="1" customWidth="1"/>
    <col min="4" max="4" width="12.28515625" bestFit="1" customWidth="1"/>
    <col min="5" max="5" width="12.42578125" bestFit="1" customWidth="1"/>
    <col min="6" max="6" width="12.42578125" customWidth="1"/>
    <col min="7" max="7" width="8.7109375" bestFit="1" customWidth="1"/>
    <col min="8" max="8" width="16.28515625" bestFit="1" customWidth="1"/>
    <col min="11" max="13" width="15" customWidth="1"/>
  </cols>
  <sheetData>
    <row r="1" spans="1:15" x14ac:dyDescent="0.25">
      <c r="A1" t="s">
        <v>144</v>
      </c>
      <c r="B1" t="s">
        <v>159</v>
      </c>
      <c r="C1" t="s">
        <v>161</v>
      </c>
      <c r="D1" t="s">
        <v>162</v>
      </c>
      <c r="E1" t="s">
        <v>181</v>
      </c>
      <c r="F1" s="32" t="s">
        <v>180</v>
      </c>
      <c r="G1" t="s">
        <v>177</v>
      </c>
      <c r="H1" t="s">
        <v>182</v>
      </c>
      <c r="I1" t="s">
        <v>163</v>
      </c>
      <c r="J1" t="s">
        <v>183</v>
      </c>
      <c r="K1" t="s">
        <v>184</v>
      </c>
      <c r="L1" t="s">
        <v>150</v>
      </c>
      <c r="M1" t="s">
        <v>189</v>
      </c>
      <c r="N1" t="s">
        <v>190</v>
      </c>
      <c r="O1" t="s">
        <v>188</v>
      </c>
    </row>
    <row r="2" spans="1:15" x14ac:dyDescent="0.25">
      <c r="A2" s="31">
        <v>118</v>
      </c>
      <c r="B2">
        <v>0.66700000000000004</v>
      </c>
      <c r="C2">
        <v>0.33300000000000002</v>
      </c>
      <c r="D2">
        <v>1.167</v>
      </c>
      <c r="E2">
        <v>1.5</v>
      </c>
      <c r="F2" s="32">
        <v>3</v>
      </c>
      <c r="G2">
        <v>4.1669999999999998</v>
      </c>
      <c r="H2">
        <v>2.1669999999999998</v>
      </c>
      <c r="I2">
        <v>6.3330000000000002</v>
      </c>
      <c r="J2">
        <v>6.3330000000000002</v>
      </c>
      <c r="K2">
        <v>4.1109999999999998</v>
      </c>
      <c r="L2">
        <v>0.5</v>
      </c>
      <c r="M2">
        <v>0.11799999999999999</v>
      </c>
      <c r="N2">
        <v>0.11799999999999999</v>
      </c>
    </row>
    <row r="3" spans="1:15" x14ac:dyDescent="0.25">
      <c r="A3" s="29">
        <v>148</v>
      </c>
      <c r="B3">
        <v>2</v>
      </c>
      <c r="C3">
        <v>2.5</v>
      </c>
      <c r="D3">
        <v>1.833</v>
      </c>
      <c r="E3">
        <v>4.3330000000000002</v>
      </c>
      <c r="F3" s="32">
        <v>3.1669999999999998</v>
      </c>
      <c r="G3">
        <v>4.6669999999999998</v>
      </c>
      <c r="H3">
        <v>6.3330000000000002</v>
      </c>
      <c r="I3">
        <v>9.1669999999999998</v>
      </c>
      <c r="J3">
        <v>9</v>
      </c>
      <c r="K3">
        <v>5.2779999999999996</v>
      </c>
      <c r="L3">
        <v>0.33300000000000002</v>
      </c>
      <c r="M3">
        <v>0.14799999999999999</v>
      </c>
      <c r="N3">
        <v>1</v>
      </c>
    </row>
    <row r="4" spans="1:15" x14ac:dyDescent="0.25">
      <c r="A4" s="29">
        <v>1477</v>
      </c>
      <c r="B4">
        <v>4</v>
      </c>
      <c r="C4">
        <v>0.28599999999999998</v>
      </c>
      <c r="D4">
        <v>0</v>
      </c>
      <c r="E4">
        <v>0.28599999999999998</v>
      </c>
      <c r="F4" s="32">
        <v>1</v>
      </c>
      <c r="G4">
        <v>3.286</v>
      </c>
      <c r="H4">
        <v>4.2859999999999996</v>
      </c>
      <c r="I4">
        <v>6.4290000000000003</v>
      </c>
      <c r="J4">
        <v>6.4289999999999994</v>
      </c>
      <c r="K4">
        <v>3.3260000000000001</v>
      </c>
      <c r="L4">
        <v>0.28599999999999998</v>
      </c>
      <c r="M4">
        <v>1</v>
      </c>
      <c r="N4">
        <v>1</v>
      </c>
    </row>
    <row r="5" spans="1:15" x14ac:dyDescent="0.25">
      <c r="A5" s="29">
        <v>7179</v>
      </c>
      <c r="B5">
        <v>6.8570000000000002</v>
      </c>
      <c r="C5">
        <v>2.1429999999999998</v>
      </c>
      <c r="D5">
        <v>2.714</v>
      </c>
      <c r="E5">
        <v>4.8569999999999993</v>
      </c>
      <c r="F5" s="32">
        <v>0</v>
      </c>
      <c r="G5">
        <v>4.7140000000000004</v>
      </c>
      <c r="H5">
        <v>11.713999999999999</v>
      </c>
      <c r="I5">
        <v>13</v>
      </c>
      <c r="J5">
        <v>13</v>
      </c>
      <c r="K5">
        <v>3.7749999999999999</v>
      </c>
      <c r="L5">
        <v>0.71399999999999997</v>
      </c>
      <c r="M5">
        <v>1</v>
      </c>
      <c r="N5">
        <v>1</v>
      </c>
    </row>
    <row r="6" spans="1:15" x14ac:dyDescent="0.25">
      <c r="A6" s="29">
        <v>3005</v>
      </c>
      <c r="B6">
        <v>1.286</v>
      </c>
      <c r="C6">
        <v>0.14299999999999999</v>
      </c>
      <c r="D6">
        <v>1</v>
      </c>
      <c r="E6">
        <v>1.143</v>
      </c>
      <c r="F6" s="32">
        <v>2.8569999999999998</v>
      </c>
      <c r="G6">
        <v>3.4289999999999998</v>
      </c>
      <c r="H6">
        <v>2.4290000000000003</v>
      </c>
      <c r="I6">
        <v>6.1429999999999998</v>
      </c>
      <c r="J6">
        <v>6.1430000000000007</v>
      </c>
      <c r="K6">
        <v>4.3330000000000002</v>
      </c>
      <c r="L6">
        <v>0.57099999999999995</v>
      </c>
      <c r="M6">
        <v>1</v>
      </c>
      <c r="N6">
        <v>1</v>
      </c>
    </row>
    <row r="7" spans="1:15" x14ac:dyDescent="0.25">
      <c r="A7" s="31">
        <v>2848</v>
      </c>
      <c r="B7">
        <v>0.85699999999999998</v>
      </c>
      <c r="C7">
        <v>0.71399999999999997</v>
      </c>
      <c r="D7">
        <v>0.57099999999999995</v>
      </c>
      <c r="E7">
        <v>1.2849999999999999</v>
      </c>
      <c r="F7" s="32">
        <v>2.8570000000000002</v>
      </c>
      <c r="G7">
        <v>3.8570000000000002</v>
      </c>
      <c r="H7">
        <v>2.1419999999999999</v>
      </c>
      <c r="I7">
        <v>5</v>
      </c>
      <c r="J7">
        <v>4.8570000000000002</v>
      </c>
      <c r="K7">
        <v>5.5</v>
      </c>
      <c r="L7">
        <v>0.71399999999999997</v>
      </c>
      <c r="M7">
        <v>1</v>
      </c>
      <c r="N7">
        <v>1</v>
      </c>
    </row>
    <row r="8" spans="1:15" x14ac:dyDescent="0.25">
      <c r="A8" s="29">
        <v>5417</v>
      </c>
      <c r="B8">
        <v>4.8570000000000002</v>
      </c>
      <c r="C8">
        <v>1.143</v>
      </c>
      <c r="D8">
        <v>0</v>
      </c>
      <c r="E8">
        <v>1.143</v>
      </c>
      <c r="F8" s="32">
        <v>0.42899999999999994</v>
      </c>
      <c r="G8">
        <v>3.4289999999999998</v>
      </c>
      <c r="H8">
        <v>6</v>
      </c>
      <c r="I8">
        <v>6.7140000000000004</v>
      </c>
      <c r="J8">
        <v>6.7140000000000004</v>
      </c>
      <c r="K8">
        <v>5.9130000000000003</v>
      </c>
      <c r="L8">
        <v>0.42899999999999999</v>
      </c>
      <c r="M8">
        <v>2</v>
      </c>
      <c r="N8">
        <v>2.1</v>
      </c>
    </row>
    <row r="9" spans="1:15" x14ac:dyDescent="0.25">
      <c r="A9" s="29">
        <v>1296</v>
      </c>
      <c r="B9">
        <v>2.286</v>
      </c>
      <c r="C9">
        <v>1.571</v>
      </c>
      <c r="D9">
        <v>0</v>
      </c>
      <c r="E9">
        <v>1.571</v>
      </c>
      <c r="F9" s="32">
        <v>2.1429999999999998</v>
      </c>
      <c r="G9">
        <v>3.5710000000000002</v>
      </c>
      <c r="H9">
        <v>3.8570000000000002</v>
      </c>
      <c r="I9">
        <v>6</v>
      </c>
      <c r="J9">
        <v>6</v>
      </c>
      <c r="K9">
        <v>8.6850000000000005</v>
      </c>
      <c r="L9">
        <v>0.57099999999999995</v>
      </c>
      <c r="M9">
        <v>2.1</v>
      </c>
      <c r="N9">
        <v>2.21</v>
      </c>
    </row>
    <row r="10" spans="1:15" x14ac:dyDescent="0.25">
      <c r="A10" s="29">
        <v>3802</v>
      </c>
      <c r="B10">
        <v>2.286</v>
      </c>
      <c r="C10">
        <v>0.42899999999999999</v>
      </c>
      <c r="D10">
        <v>0.28599999999999998</v>
      </c>
      <c r="E10">
        <v>0.71499999999999997</v>
      </c>
      <c r="F10" s="32">
        <v>2</v>
      </c>
      <c r="G10">
        <v>3</v>
      </c>
      <c r="H10">
        <v>3.0009999999999999</v>
      </c>
      <c r="I10">
        <v>6</v>
      </c>
      <c r="J10">
        <v>6</v>
      </c>
      <c r="K10">
        <v>8.3580000000000005</v>
      </c>
      <c r="L10">
        <v>0.85699999999999998</v>
      </c>
      <c r="M10">
        <v>2.2000000000000002</v>
      </c>
      <c r="N10">
        <v>2.4</v>
      </c>
    </row>
    <row r="11" spans="1:15" x14ac:dyDescent="0.25">
      <c r="A11" s="29">
        <v>2333</v>
      </c>
      <c r="B11">
        <v>3</v>
      </c>
      <c r="C11">
        <v>0.71399999999999997</v>
      </c>
      <c r="D11">
        <v>0</v>
      </c>
      <c r="E11">
        <v>0.71399999999999997</v>
      </c>
      <c r="F11" s="32">
        <v>0.42899999999999999</v>
      </c>
      <c r="G11">
        <v>2.714</v>
      </c>
      <c r="H11">
        <v>3.714</v>
      </c>
      <c r="I11">
        <v>5.4290000000000003</v>
      </c>
      <c r="J11">
        <v>5.427999999999999</v>
      </c>
      <c r="K11">
        <v>8.1959999999999997</v>
      </c>
      <c r="L11">
        <v>1</v>
      </c>
      <c r="M11">
        <v>2.2999999999999998</v>
      </c>
      <c r="N11">
        <v>2.2999999999999998</v>
      </c>
    </row>
    <row r="12" spans="1:15" x14ac:dyDescent="0.25">
      <c r="A12" s="29">
        <v>2789</v>
      </c>
      <c r="B12">
        <v>6.8</v>
      </c>
      <c r="C12">
        <v>0</v>
      </c>
      <c r="D12">
        <v>0</v>
      </c>
      <c r="E12">
        <v>0</v>
      </c>
      <c r="F12" s="32">
        <v>0</v>
      </c>
      <c r="G12">
        <v>2.8</v>
      </c>
      <c r="H12">
        <v>6.8</v>
      </c>
      <c r="I12">
        <v>7</v>
      </c>
      <c r="J12">
        <v>6.9999999999999991</v>
      </c>
      <c r="K12">
        <v>8.4640000000000004</v>
      </c>
      <c r="L12">
        <v>0</v>
      </c>
      <c r="M12">
        <v>2.4</v>
      </c>
      <c r="N12">
        <v>2.0099999999999998</v>
      </c>
    </row>
    <row r="13" spans="1:15" x14ac:dyDescent="0.25">
      <c r="A13" s="29">
        <v>5057</v>
      </c>
      <c r="B13">
        <v>5.6669999999999998</v>
      </c>
      <c r="C13">
        <v>0</v>
      </c>
      <c r="D13">
        <v>0</v>
      </c>
      <c r="E13">
        <v>0</v>
      </c>
      <c r="F13" s="32">
        <v>0</v>
      </c>
      <c r="G13">
        <v>2.8330000000000002</v>
      </c>
      <c r="H13">
        <v>5.6669999999999998</v>
      </c>
      <c r="I13">
        <v>5.1669999999999998</v>
      </c>
      <c r="J13">
        <v>5.1660000000000004</v>
      </c>
      <c r="K13">
        <v>10.321999999999999</v>
      </c>
      <c r="L13">
        <v>0.5</v>
      </c>
      <c r="M13">
        <v>2.5</v>
      </c>
      <c r="N13">
        <v>2.5</v>
      </c>
    </row>
    <row r="14" spans="1:15" x14ac:dyDescent="0.25">
      <c r="A14" s="31">
        <v>4192</v>
      </c>
      <c r="B14">
        <v>1.167</v>
      </c>
      <c r="C14">
        <v>0.83299999999999996</v>
      </c>
      <c r="D14">
        <v>0.33300000000000002</v>
      </c>
      <c r="E14">
        <v>1.1659999999999999</v>
      </c>
      <c r="F14" s="32">
        <v>1.333</v>
      </c>
      <c r="G14">
        <v>3.1669999999999998</v>
      </c>
      <c r="H14">
        <v>2.3330000000000002</v>
      </c>
      <c r="I14">
        <v>6.1669999999999998</v>
      </c>
      <c r="J14">
        <v>6.1660000000000004</v>
      </c>
      <c r="K14">
        <v>5.4169999999999998</v>
      </c>
      <c r="L14">
        <v>0.33300000000000002</v>
      </c>
      <c r="M14">
        <v>2.6</v>
      </c>
      <c r="N14">
        <v>3.01</v>
      </c>
    </row>
    <row r="15" spans="1:15" x14ac:dyDescent="0.25">
      <c r="A15" s="29">
        <v>5431</v>
      </c>
      <c r="B15">
        <v>2.5</v>
      </c>
      <c r="C15">
        <v>0.16700000000000001</v>
      </c>
      <c r="D15">
        <v>0.16700000000000001</v>
      </c>
      <c r="E15">
        <v>0.33400000000000002</v>
      </c>
      <c r="F15" s="32">
        <v>0.5</v>
      </c>
      <c r="G15">
        <v>3</v>
      </c>
      <c r="H15">
        <v>2.8340000000000001</v>
      </c>
      <c r="I15">
        <v>3.8330000000000002</v>
      </c>
      <c r="J15">
        <v>3.8330000000000002</v>
      </c>
      <c r="K15">
        <v>4.6219999999999999</v>
      </c>
      <c r="L15">
        <v>0</v>
      </c>
      <c r="M15">
        <v>2.7</v>
      </c>
      <c r="N15">
        <v>2.2000000000000002</v>
      </c>
      <c r="O15" t="s">
        <v>185</v>
      </c>
    </row>
    <row r="16" spans="1:15" x14ac:dyDescent="0.25">
      <c r="A16" s="23">
        <v>6672</v>
      </c>
      <c r="B16">
        <v>0.16700000000000001</v>
      </c>
      <c r="C16">
        <v>0.66700000000000004</v>
      </c>
      <c r="D16">
        <v>0.83299999999999996</v>
      </c>
      <c r="E16">
        <v>1.5</v>
      </c>
      <c r="F16" s="32">
        <v>2</v>
      </c>
      <c r="G16">
        <v>2.8330000000000002</v>
      </c>
      <c r="H16">
        <v>1.667</v>
      </c>
      <c r="I16">
        <v>4.3330000000000002</v>
      </c>
      <c r="J16">
        <v>4.3339999999999996</v>
      </c>
      <c r="K16">
        <v>0</v>
      </c>
      <c r="L16">
        <v>0.5</v>
      </c>
      <c r="M16">
        <v>2.8</v>
      </c>
      <c r="N16">
        <v>3.07</v>
      </c>
    </row>
    <row r="17" spans="1:15" x14ac:dyDescent="0.25">
      <c r="A17" s="31">
        <v>5889</v>
      </c>
      <c r="B17">
        <v>1</v>
      </c>
      <c r="C17">
        <v>0</v>
      </c>
      <c r="D17">
        <v>0.8</v>
      </c>
      <c r="E17">
        <v>0.8</v>
      </c>
      <c r="F17" s="32">
        <v>2</v>
      </c>
      <c r="G17">
        <v>2.8</v>
      </c>
      <c r="H17">
        <v>1.8</v>
      </c>
      <c r="I17">
        <v>4.5999999999999996</v>
      </c>
      <c r="J17">
        <v>4</v>
      </c>
      <c r="K17">
        <v>7</v>
      </c>
      <c r="L17">
        <v>0.2</v>
      </c>
      <c r="M17">
        <v>2.9</v>
      </c>
      <c r="N17">
        <v>3.06</v>
      </c>
      <c r="O17" t="s">
        <v>186</v>
      </c>
    </row>
    <row r="18" spans="1:15" x14ac:dyDescent="0.25">
      <c r="A18" s="23">
        <v>3593</v>
      </c>
      <c r="B18">
        <v>0.2</v>
      </c>
      <c r="C18">
        <v>0.4</v>
      </c>
      <c r="D18">
        <v>1.2</v>
      </c>
      <c r="E18">
        <v>1.6</v>
      </c>
      <c r="F18" s="32">
        <v>2.2000000000000002</v>
      </c>
      <c r="G18">
        <v>3.4</v>
      </c>
      <c r="H18">
        <v>1.8</v>
      </c>
      <c r="I18">
        <v>5.6</v>
      </c>
      <c r="J18">
        <v>5.6000000000000005</v>
      </c>
      <c r="K18">
        <v>8</v>
      </c>
      <c r="L18">
        <v>0.4</v>
      </c>
      <c r="M18">
        <v>3</v>
      </c>
      <c r="N18">
        <v>3.05</v>
      </c>
    </row>
    <row r="19" spans="1:15" x14ac:dyDescent="0.25">
      <c r="A19" s="29">
        <v>1745</v>
      </c>
      <c r="B19">
        <v>1.667</v>
      </c>
      <c r="C19">
        <v>0.66700000000000004</v>
      </c>
      <c r="D19">
        <v>0.16700000000000001</v>
      </c>
      <c r="E19">
        <v>0.83400000000000007</v>
      </c>
      <c r="F19" s="32">
        <v>0.33300000000000002</v>
      </c>
      <c r="G19">
        <v>2.3330000000000002</v>
      </c>
      <c r="H19">
        <v>2.5010000000000003</v>
      </c>
      <c r="I19">
        <v>4.1669999999999998</v>
      </c>
      <c r="J19">
        <v>3.8330000000000002</v>
      </c>
      <c r="K19">
        <v>5.976</v>
      </c>
      <c r="L19">
        <v>0.83299999999999996</v>
      </c>
      <c r="M19">
        <v>3.1</v>
      </c>
      <c r="N19">
        <v>3.1</v>
      </c>
    </row>
    <row r="20" spans="1:15" x14ac:dyDescent="0.25">
      <c r="A20" s="29">
        <v>6171</v>
      </c>
      <c r="B20">
        <v>1.333</v>
      </c>
      <c r="C20">
        <v>1.833</v>
      </c>
      <c r="D20">
        <v>0.5</v>
      </c>
      <c r="E20">
        <v>2.3330000000000002</v>
      </c>
      <c r="F20" s="32">
        <v>0</v>
      </c>
      <c r="G20">
        <v>2.5</v>
      </c>
      <c r="H20">
        <v>3.6660000000000004</v>
      </c>
      <c r="I20">
        <v>3.3330000000000002</v>
      </c>
      <c r="J20">
        <v>3.3330000000000002</v>
      </c>
      <c r="K20">
        <v>10.667</v>
      </c>
      <c r="L20">
        <v>0</v>
      </c>
      <c r="M20">
        <v>3.2</v>
      </c>
      <c r="N20">
        <v>3.2</v>
      </c>
    </row>
    <row r="21" spans="1:15" x14ac:dyDescent="0.25">
      <c r="A21" s="29">
        <v>2805</v>
      </c>
      <c r="B21">
        <v>3.2</v>
      </c>
      <c r="C21">
        <v>0</v>
      </c>
      <c r="D21">
        <v>0</v>
      </c>
      <c r="E21">
        <v>0</v>
      </c>
      <c r="F21" s="32">
        <v>0</v>
      </c>
      <c r="G21">
        <v>2.4</v>
      </c>
      <c r="H21">
        <v>3.2</v>
      </c>
      <c r="I21">
        <v>2.8</v>
      </c>
      <c r="J21">
        <v>2.8</v>
      </c>
      <c r="K21">
        <v>14.278</v>
      </c>
      <c r="L21">
        <v>0</v>
      </c>
      <c r="M21">
        <v>3.3</v>
      </c>
      <c r="N21">
        <v>2.6</v>
      </c>
    </row>
    <row r="22" spans="1:15" x14ac:dyDescent="0.25">
      <c r="A22" s="31">
        <v>5242</v>
      </c>
      <c r="B22">
        <v>0.66700000000000004</v>
      </c>
      <c r="C22">
        <v>0.33300000000000002</v>
      </c>
      <c r="D22">
        <v>0</v>
      </c>
      <c r="E22">
        <v>0.33300000000000002</v>
      </c>
      <c r="F22" s="32">
        <v>1.833</v>
      </c>
      <c r="G22">
        <v>2.1669999999999998</v>
      </c>
      <c r="H22">
        <v>1</v>
      </c>
      <c r="I22">
        <v>3.3330000000000002</v>
      </c>
      <c r="J22">
        <v>3.3330000000000002</v>
      </c>
      <c r="K22">
        <v>6.6669999999999998</v>
      </c>
      <c r="L22">
        <v>0.66700000000000004</v>
      </c>
      <c r="M22">
        <v>3.4</v>
      </c>
      <c r="N22">
        <v>3.2</v>
      </c>
    </row>
    <row r="23" spans="1:15" x14ac:dyDescent="0.25">
      <c r="A23" s="31">
        <v>2723</v>
      </c>
      <c r="B23">
        <v>1.167</v>
      </c>
      <c r="C23">
        <v>1.167</v>
      </c>
      <c r="D23">
        <v>0.83299999999999996</v>
      </c>
      <c r="E23">
        <v>2</v>
      </c>
      <c r="F23" s="32">
        <v>0.5</v>
      </c>
      <c r="G23">
        <v>2.8330000000000002</v>
      </c>
      <c r="H23">
        <v>3.1669999999999998</v>
      </c>
      <c r="I23">
        <v>3.3330000000000002</v>
      </c>
      <c r="J23">
        <v>3.3330000000000002</v>
      </c>
      <c r="K23">
        <v>15.667</v>
      </c>
      <c r="L23">
        <v>0.16700000000000001</v>
      </c>
      <c r="M23">
        <v>3.5</v>
      </c>
      <c r="N23">
        <v>3.5</v>
      </c>
    </row>
    <row r="24" spans="1:15" x14ac:dyDescent="0.25">
      <c r="A24" s="31">
        <v>2341</v>
      </c>
      <c r="B24">
        <v>0.5</v>
      </c>
      <c r="C24">
        <v>0.66700000000000004</v>
      </c>
      <c r="D24">
        <v>0</v>
      </c>
      <c r="E24">
        <v>0.66700000000000004</v>
      </c>
      <c r="F24" s="32">
        <v>1.6659999999999999</v>
      </c>
      <c r="G24">
        <v>2.6669999999999998</v>
      </c>
      <c r="H24">
        <v>1.167</v>
      </c>
      <c r="I24">
        <v>2.8330000000000002</v>
      </c>
      <c r="J24">
        <v>2.8340000000000001</v>
      </c>
      <c r="K24">
        <v>6.3330000000000002</v>
      </c>
      <c r="L24">
        <v>0.16700000000000001</v>
      </c>
      <c r="M24">
        <v>3.6</v>
      </c>
      <c r="N24">
        <v>3.19</v>
      </c>
    </row>
    <row r="25" spans="1:15" x14ac:dyDescent="0.25">
      <c r="A25" s="31">
        <v>6671</v>
      </c>
      <c r="B25">
        <v>0.5</v>
      </c>
      <c r="C25">
        <v>0</v>
      </c>
      <c r="D25">
        <v>0.66700000000000004</v>
      </c>
      <c r="E25">
        <v>0.66700000000000004</v>
      </c>
      <c r="F25" s="32">
        <v>1.167</v>
      </c>
      <c r="G25">
        <v>2.3330000000000002</v>
      </c>
      <c r="H25">
        <v>1.167</v>
      </c>
      <c r="I25">
        <v>3.6669999999999998</v>
      </c>
      <c r="J25">
        <v>3.6669999999999998</v>
      </c>
      <c r="K25">
        <v>8</v>
      </c>
      <c r="L25">
        <v>0.83299999999999996</v>
      </c>
      <c r="M25">
        <v>3.7</v>
      </c>
      <c r="N25">
        <v>3.15</v>
      </c>
    </row>
    <row r="26" spans="1:15" x14ac:dyDescent="0.25">
      <c r="A26" s="29">
        <v>6768</v>
      </c>
      <c r="B26">
        <v>2</v>
      </c>
      <c r="C26">
        <v>0.5</v>
      </c>
      <c r="D26">
        <v>0</v>
      </c>
      <c r="E26">
        <v>0.5</v>
      </c>
      <c r="F26" s="32">
        <v>0</v>
      </c>
      <c r="G26">
        <v>1.833</v>
      </c>
      <c r="H26">
        <v>2.5</v>
      </c>
      <c r="I26">
        <v>2.8330000000000002</v>
      </c>
      <c r="J26">
        <v>2.8339999999999996</v>
      </c>
      <c r="K26">
        <v>8.0670000000000002</v>
      </c>
      <c r="L26">
        <v>0.5</v>
      </c>
      <c r="M26">
        <v>3.8</v>
      </c>
      <c r="N26">
        <v>3.35</v>
      </c>
      <c r="O26" t="s">
        <v>187</v>
      </c>
    </row>
    <row r="27" spans="1:15" x14ac:dyDescent="0.25">
      <c r="A27" s="29">
        <v>6646</v>
      </c>
      <c r="B27">
        <v>1.429</v>
      </c>
      <c r="C27">
        <v>0.57099999999999995</v>
      </c>
      <c r="D27">
        <v>0</v>
      </c>
      <c r="E27">
        <v>0.57099999999999995</v>
      </c>
      <c r="F27" s="32">
        <v>0</v>
      </c>
      <c r="G27">
        <v>2.286</v>
      </c>
      <c r="H27">
        <v>2</v>
      </c>
      <c r="I27">
        <v>3.5710000000000002</v>
      </c>
      <c r="J27">
        <v>3.4279999999999999</v>
      </c>
      <c r="K27">
        <v>17.667000000000002</v>
      </c>
      <c r="L27">
        <v>0.71399999999999997</v>
      </c>
      <c r="M27">
        <v>3.9</v>
      </c>
      <c r="N27">
        <v>3.29</v>
      </c>
    </row>
    <row r="28" spans="1:15" x14ac:dyDescent="0.25">
      <c r="A28" s="31">
        <v>5960</v>
      </c>
      <c r="B28">
        <v>1</v>
      </c>
      <c r="C28">
        <v>1.4</v>
      </c>
      <c r="D28">
        <v>0</v>
      </c>
      <c r="E28">
        <v>1.4</v>
      </c>
      <c r="F28" s="32">
        <v>0</v>
      </c>
      <c r="G28">
        <v>1.8</v>
      </c>
      <c r="H28">
        <v>2.4</v>
      </c>
      <c r="I28">
        <v>3</v>
      </c>
      <c r="J28">
        <v>3</v>
      </c>
      <c r="K28">
        <v>9.3330000000000002</v>
      </c>
      <c r="L28">
        <v>0.6</v>
      </c>
      <c r="M28">
        <v>4</v>
      </c>
      <c r="N28">
        <v>3.6</v>
      </c>
    </row>
    <row r="29" spans="1:15" x14ac:dyDescent="0.25">
      <c r="A29" s="23">
        <v>3179</v>
      </c>
      <c r="B29">
        <v>0</v>
      </c>
      <c r="C29">
        <v>2</v>
      </c>
      <c r="D29">
        <v>0</v>
      </c>
      <c r="E29">
        <v>2</v>
      </c>
      <c r="F29" s="32">
        <v>1</v>
      </c>
      <c r="G29">
        <v>2.6</v>
      </c>
      <c r="H29">
        <v>2</v>
      </c>
      <c r="I29">
        <v>3.2</v>
      </c>
      <c r="J29">
        <v>3.2</v>
      </c>
      <c r="K29">
        <v>7</v>
      </c>
      <c r="L29">
        <v>0</v>
      </c>
      <c r="M29">
        <v>4.0999999999999996</v>
      </c>
      <c r="N29">
        <v>3.55</v>
      </c>
    </row>
    <row r="30" spans="1:15" x14ac:dyDescent="0.25">
      <c r="A30" s="23">
        <v>7121</v>
      </c>
      <c r="B30">
        <v>0</v>
      </c>
      <c r="C30">
        <v>2.8330000000000002</v>
      </c>
      <c r="D30">
        <v>0</v>
      </c>
      <c r="E30">
        <v>2.8330000000000002</v>
      </c>
      <c r="F30" s="32">
        <v>0.66600000000000004</v>
      </c>
      <c r="G30">
        <v>2.6669999999999998</v>
      </c>
      <c r="H30">
        <v>2.8330000000000002</v>
      </c>
      <c r="I30">
        <v>3.6669999999999998</v>
      </c>
      <c r="J30">
        <v>3.6669999999999998</v>
      </c>
      <c r="K30">
        <v>0</v>
      </c>
      <c r="L30">
        <v>0</v>
      </c>
      <c r="M30">
        <v>4.2</v>
      </c>
      <c r="N30">
        <v>3.3</v>
      </c>
    </row>
    <row r="31" spans="1:15" x14ac:dyDescent="0.25">
      <c r="A31" s="29">
        <v>7119</v>
      </c>
      <c r="B31">
        <v>1.667</v>
      </c>
      <c r="C31">
        <v>0.5</v>
      </c>
      <c r="D31">
        <v>0</v>
      </c>
      <c r="E31">
        <v>0.5</v>
      </c>
      <c r="F31" s="32">
        <v>0</v>
      </c>
      <c r="G31">
        <v>1.833</v>
      </c>
      <c r="H31">
        <v>2.1669999999999998</v>
      </c>
      <c r="I31">
        <v>2.8330000000000002</v>
      </c>
      <c r="J31">
        <v>2.8330000000000002</v>
      </c>
      <c r="K31">
        <v>11.9</v>
      </c>
      <c r="L31">
        <v>0.16700000000000001</v>
      </c>
      <c r="M31">
        <v>4.3</v>
      </c>
      <c r="N31">
        <v>3.8</v>
      </c>
    </row>
    <row r="32" spans="1:15" x14ac:dyDescent="0.25">
      <c r="A32" s="23">
        <v>6133</v>
      </c>
      <c r="B32">
        <v>0</v>
      </c>
      <c r="C32">
        <v>0.33300000000000002</v>
      </c>
      <c r="D32">
        <v>0</v>
      </c>
      <c r="E32">
        <v>0.33300000000000002</v>
      </c>
      <c r="F32" s="32">
        <v>0.66600000000000004</v>
      </c>
      <c r="G32">
        <v>1.667</v>
      </c>
      <c r="H32">
        <v>0.33300000000000002</v>
      </c>
      <c r="I32">
        <v>1.667</v>
      </c>
      <c r="J32">
        <v>1.667</v>
      </c>
      <c r="K32">
        <v>0</v>
      </c>
      <c r="L32">
        <v>0.5</v>
      </c>
      <c r="N32">
        <v>5</v>
      </c>
    </row>
    <row r="33" spans="1:14" x14ac:dyDescent="0.25">
      <c r="A33" s="23">
        <v>1255</v>
      </c>
      <c r="B33">
        <v>0</v>
      </c>
      <c r="C33">
        <v>0.28599999999999998</v>
      </c>
      <c r="D33">
        <v>3</v>
      </c>
      <c r="E33">
        <v>3.286</v>
      </c>
      <c r="F33" s="32">
        <v>0</v>
      </c>
      <c r="G33">
        <v>3.286</v>
      </c>
      <c r="H33">
        <v>3.286</v>
      </c>
      <c r="I33">
        <v>4.4290000000000003</v>
      </c>
      <c r="J33">
        <v>0.28599999999999998</v>
      </c>
      <c r="K33">
        <v>0</v>
      </c>
      <c r="L33">
        <v>0.28599999999999998</v>
      </c>
      <c r="N33">
        <v>4</v>
      </c>
    </row>
    <row r="34" spans="1:14" x14ac:dyDescent="0.25">
      <c r="A34" s="23">
        <v>6751</v>
      </c>
      <c r="B34">
        <v>0</v>
      </c>
      <c r="C34">
        <v>0.14299999999999999</v>
      </c>
      <c r="D34">
        <v>0</v>
      </c>
      <c r="E34">
        <v>0.14299999999999999</v>
      </c>
      <c r="F34" s="32">
        <v>0</v>
      </c>
      <c r="G34">
        <v>1.429</v>
      </c>
      <c r="H34">
        <v>0.14299999999999999</v>
      </c>
      <c r="I34">
        <v>0.28599999999999998</v>
      </c>
      <c r="J34">
        <v>0.14299999999999999</v>
      </c>
      <c r="K34">
        <v>0</v>
      </c>
      <c r="L34">
        <v>0.42899999999999999</v>
      </c>
      <c r="N34">
        <v>5</v>
      </c>
    </row>
    <row r="35" spans="1:14" x14ac:dyDescent="0.25">
      <c r="A35" s="23">
        <v>7120</v>
      </c>
      <c r="B35">
        <v>0</v>
      </c>
      <c r="C35">
        <v>0.71399999999999997</v>
      </c>
      <c r="D35">
        <v>0</v>
      </c>
      <c r="E35">
        <v>0.71399999999999997</v>
      </c>
      <c r="F35" s="32">
        <v>0</v>
      </c>
      <c r="G35">
        <v>1.143</v>
      </c>
      <c r="H35">
        <v>0.71399999999999997</v>
      </c>
      <c r="I35">
        <v>1.286</v>
      </c>
      <c r="J35">
        <v>0.14299999999999999</v>
      </c>
      <c r="K35">
        <v>0</v>
      </c>
      <c r="L35">
        <v>0.14299999999999999</v>
      </c>
      <c r="N35">
        <v>5</v>
      </c>
    </row>
    <row r="36" spans="1:14" x14ac:dyDescent="0.25">
      <c r="A36" s="23">
        <v>3037</v>
      </c>
      <c r="B36">
        <v>0</v>
      </c>
      <c r="C36">
        <v>0</v>
      </c>
      <c r="D36">
        <v>0.42899999999999999</v>
      </c>
      <c r="E36">
        <v>0.42899999999999999</v>
      </c>
      <c r="F36" s="32">
        <v>0</v>
      </c>
      <c r="G36">
        <v>1.286</v>
      </c>
      <c r="H36">
        <v>0.42899999999999999</v>
      </c>
      <c r="I36">
        <v>0.85699999999999998</v>
      </c>
      <c r="J36">
        <v>0</v>
      </c>
      <c r="K36">
        <v>0</v>
      </c>
      <c r="L36">
        <v>0.42899999999999999</v>
      </c>
      <c r="N36">
        <v>5</v>
      </c>
    </row>
    <row r="37" spans="1:14" x14ac:dyDescent="0.25">
      <c r="A37" s="23">
        <v>3370</v>
      </c>
      <c r="B37">
        <v>0</v>
      </c>
      <c r="C37">
        <v>0.28599999999999998</v>
      </c>
      <c r="D37">
        <v>0</v>
      </c>
      <c r="E37">
        <v>0.28599999999999998</v>
      </c>
      <c r="F37" s="32">
        <v>0</v>
      </c>
      <c r="G37">
        <v>1.857</v>
      </c>
      <c r="H37">
        <v>0.28599999999999998</v>
      </c>
      <c r="I37">
        <v>0.57099999999999995</v>
      </c>
      <c r="J37">
        <v>0</v>
      </c>
      <c r="K37">
        <v>0</v>
      </c>
      <c r="L37">
        <v>0.28599999999999998</v>
      </c>
      <c r="N37">
        <v>5</v>
      </c>
    </row>
    <row r="38" spans="1:14" x14ac:dyDescent="0.25">
      <c r="A38" s="23">
        <v>3676</v>
      </c>
      <c r="B38">
        <v>0</v>
      </c>
      <c r="C38">
        <v>0.5</v>
      </c>
      <c r="D38">
        <v>2.5</v>
      </c>
      <c r="E38">
        <v>3</v>
      </c>
      <c r="F38" s="32">
        <v>0</v>
      </c>
      <c r="G38">
        <v>2.8330000000000002</v>
      </c>
      <c r="H38">
        <v>3</v>
      </c>
      <c r="I38">
        <v>3.3330000000000002</v>
      </c>
      <c r="J38">
        <v>0</v>
      </c>
      <c r="K38">
        <v>0</v>
      </c>
      <c r="L38">
        <v>0.5</v>
      </c>
      <c r="N38">
        <v>4</v>
      </c>
    </row>
    <row r="39" spans="1:14" x14ac:dyDescent="0.25">
      <c r="A39" s="23">
        <v>5411</v>
      </c>
      <c r="B39">
        <v>0</v>
      </c>
      <c r="C39">
        <v>0.16700000000000001</v>
      </c>
      <c r="D39">
        <v>0</v>
      </c>
      <c r="E39">
        <v>0.16700000000000001</v>
      </c>
      <c r="F39" s="32">
        <v>0</v>
      </c>
      <c r="G39">
        <v>0.83299999999999996</v>
      </c>
      <c r="H39">
        <v>0.16700000000000001</v>
      </c>
      <c r="I39">
        <v>0</v>
      </c>
      <c r="J39">
        <v>0</v>
      </c>
      <c r="K39">
        <v>0</v>
      </c>
      <c r="L39">
        <v>0.16700000000000001</v>
      </c>
      <c r="N39">
        <v>5</v>
      </c>
    </row>
    <row r="40" spans="1:14" x14ac:dyDescent="0.25">
      <c r="A40" s="23">
        <v>5682</v>
      </c>
      <c r="B40">
        <v>0</v>
      </c>
      <c r="C40">
        <v>0</v>
      </c>
      <c r="D40">
        <v>0</v>
      </c>
      <c r="E40">
        <v>0</v>
      </c>
      <c r="F40" s="32">
        <v>0</v>
      </c>
      <c r="G40">
        <v>1.167</v>
      </c>
      <c r="H40">
        <v>0</v>
      </c>
      <c r="I40">
        <v>0</v>
      </c>
      <c r="J40">
        <v>0</v>
      </c>
      <c r="K40">
        <v>0</v>
      </c>
      <c r="L40">
        <v>0.16700000000000001</v>
      </c>
      <c r="N40">
        <v>5</v>
      </c>
    </row>
    <row r="41" spans="1:14" x14ac:dyDescent="0.25">
      <c r="A41" s="23">
        <v>6321</v>
      </c>
      <c r="B41">
        <v>0</v>
      </c>
      <c r="C41">
        <v>0</v>
      </c>
      <c r="D41">
        <v>0</v>
      </c>
      <c r="E41">
        <v>0</v>
      </c>
      <c r="F41" s="32">
        <v>0</v>
      </c>
      <c r="G41">
        <v>1.714</v>
      </c>
      <c r="H41">
        <v>0</v>
      </c>
      <c r="I41">
        <v>0</v>
      </c>
      <c r="J41">
        <v>0</v>
      </c>
      <c r="K41">
        <v>0</v>
      </c>
      <c r="L41">
        <v>0</v>
      </c>
      <c r="N41">
        <v>5</v>
      </c>
    </row>
    <row r="42" spans="1:14" x14ac:dyDescent="0.25">
      <c r="A42" s="23">
        <v>7303</v>
      </c>
      <c r="B42">
        <v>0.14299999999999999</v>
      </c>
      <c r="C42">
        <v>0.14299999999999999</v>
      </c>
      <c r="D42">
        <v>0</v>
      </c>
      <c r="E42">
        <v>0.14299999999999999</v>
      </c>
      <c r="F42" s="32">
        <v>0</v>
      </c>
      <c r="G42">
        <v>1</v>
      </c>
      <c r="H42">
        <v>0.28599999999999998</v>
      </c>
      <c r="I42">
        <v>1.143</v>
      </c>
      <c r="J42">
        <v>0</v>
      </c>
      <c r="K42">
        <v>4</v>
      </c>
      <c r="L42">
        <v>1.429</v>
      </c>
      <c r="N42">
        <v>5</v>
      </c>
    </row>
    <row r="43" spans="1:14" x14ac:dyDescent="0.25">
      <c r="A43" s="23">
        <v>6901</v>
      </c>
      <c r="B43">
        <v>0.16700000000000001</v>
      </c>
      <c r="C43">
        <v>0.5</v>
      </c>
      <c r="D43">
        <v>0.66700000000000004</v>
      </c>
      <c r="E43">
        <v>1.167</v>
      </c>
      <c r="F43" s="32">
        <v>0</v>
      </c>
      <c r="G43">
        <v>2.1669999999999998</v>
      </c>
      <c r="H43">
        <v>1.3340000000000001</v>
      </c>
      <c r="I43">
        <v>1.833</v>
      </c>
      <c r="J43">
        <v>0.5</v>
      </c>
      <c r="K43">
        <v>5</v>
      </c>
      <c r="L43">
        <v>0.16700000000000001</v>
      </c>
      <c r="N43">
        <v>4</v>
      </c>
    </row>
    <row r="44" spans="1:14" x14ac:dyDescent="0.25">
      <c r="A44" s="31">
        <v>3355</v>
      </c>
      <c r="B44">
        <v>0.33300000000000002</v>
      </c>
      <c r="C44">
        <v>0.66700000000000004</v>
      </c>
      <c r="D44">
        <v>1</v>
      </c>
      <c r="E44">
        <v>1.667</v>
      </c>
      <c r="F44" s="32">
        <v>0</v>
      </c>
      <c r="G44">
        <v>1.833</v>
      </c>
      <c r="H44">
        <v>2</v>
      </c>
      <c r="I44">
        <v>2.5</v>
      </c>
      <c r="J44">
        <v>1.167</v>
      </c>
      <c r="K44">
        <v>6</v>
      </c>
      <c r="L44">
        <v>0.5</v>
      </c>
      <c r="N44">
        <v>4</v>
      </c>
    </row>
    <row r="45" spans="1:14" x14ac:dyDescent="0.25">
      <c r="A45" s="31">
        <v>3282</v>
      </c>
      <c r="B45">
        <v>0.33300000000000002</v>
      </c>
      <c r="C45">
        <v>0.16700000000000001</v>
      </c>
      <c r="D45">
        <v>0</v>
      </c>
      <c r="E45">
        <v>0.16700000000000001</v>
      </c>
      <c r="F45" s="32">
        <v>0</v>
      </c>
      <c r="G45">
        <v>1</v>
      </c>
      <c r="H45">
        <v>0.5</v>
      </c>
      <c r="I45">
        <v>0.16700000000000001</v>
      </c>
      <c r="J45">
        <v>0.16700000000000001</v>
      </c>
      <c r="K45">
        <v>6</v>
      </c>
      <c r="L45">
        <v>0</v>
      </c>
      <c r="N45">
        <v>5</v>
      </c>
    </row>
    <row r="46" spans="1:14" x14ac:dyDescent="0.25">
      <c r="A46" s="31">
        <v>2164</v>
      </c>
      <c r="B46">
        <v>0.71399999999999997</v>
      </c>
      <c r="C46">
        <v>0.85699999999999998</v>
      </c>
      <c r="D46">
        <v>0.14299999999999999</v>
      </c>
      <c r="E46">
        <v>1</v>
      </c>
      <c r="F46" s="32">
        <v>0</v>
      </c>
      <c r="G46">
        <v>2.1429999999999998</v>
      </c>
      <c r="H46">
        <v>1.714</v>
      </c>
      <c r="I46">
        <v>1.857</v>
      </c>
      <c r="J46">
        <v>1.857</v>
      </c>
      <c r="K46">
        <v>6.5</v>
      </c>
      <c r="L46">
        <v>0.14299999999999999</v>
      </c>
      <c r="N46">
        <v>4</v>
      </c>
    </row>
    <row r="47" spans="1:14" x14ac:dyDescent="0.25">
      <c r="A47" s="29">
        <v>7319</v>
      </c>
      <c r="B47">
        <v>1.8</v>
      </c>
      <c r="C47">
        <v>0</v>
      </c>
      <c r="D47">
        <v>0</v>
      </c>
      <c r="E47">
        <v>0</v>
      </c>
      <c r="F47" s="32">
        <v>0</v>
      </c>
      <c r="G47">
        <v>1.2</v>
      </c>
      <c r="H47">
        <v>1.8</v>
      </c>
      <c r="I47">
        <v>2.2000000000000002</v>
      </c>
      <c r="J47">
        <v>2.2000000000000002</v>
      </c>
      <c r="K47">
        <v>7</v>
      </c>
      <c r="L47">
        <v>0</v>
      </c>
      <c r="N47">
        <v>4</v>
      </c>
    </row>
    <row r="48" spans="1:14" x14ac:dyDescent="0.25">
      <c r="A48" s="31">
        <v>1382</v>
      </c>
      <c r="B48">
        <v>1.143</v>
      </c>
      <c r="C48">
        <v>1</v>
      </c>
      <c r="D48">
        <v>0.14299999999999999</v>
      </c>
      <c r="E48">
        <v>1.143</v>
      </c>
      <c r="F48" s="32">
        <v>0</v>
      </c>
      <c r="G48">
        <v>2.1429999999999998</v>
      </c>
      <c r="H48">
        <v>2.286</v>
      </c>
      <c r="I48">
        <v>3.5710000000000002</v>
      </c>
      <c r="J48">
        <v>3.5709999999999997</v>
      </c>
      <c r="K48">
        <v>8.1669999999999998</v>
      </c>
      <c r="L48">
        <v>1.143</v>
      </c>
      <c r="N48">
        <v>4</v>
      </c>
    </row>
    <row r="49" spans="1:14" x14ac:dyDescent="0.25">
      <c r="A49" s="29">
        <v>7321</v>
      </c>
      <c r="B49">
        <v>1.333</v>
      </c>
      <c r="C49">
        <v>0</v>
      </c>
      <c r="D49">
        <v>0</v>
      </c>
      <c r="E49">
        <v>0</v>
      </c>
      <c r="F49" s="32">
        <v>0</v>
      </c>
      <c r="G49">
        <v>1.667</v>
      </c>
      <c r="H49">
        <v>1.333</v>
      </c>
      <c r="I49">
        <v>1.167</v>
      </c>
      <c r="J49">
        <v>1.167</v>
      </c>
      <c r="K49">
        <v>8.8000000000000007</v>
      </c>
      <c r="L49">
        <v>0</v>
      </c>
      <c r="N49">
        <v>4</v>
      </c>
    </row>
    <row r="50" spans="1:14" x14ac:dyDescent="0.25">
      <c r="A50" s="31">
        <v>7125</v>
      </c>
      <c r="B50">
        <v>0.85699999999999998</v>
      </c>
      <c r="C50">
        <v>0.85699999999999998</v>
      </c>
      <c r="D50">
        <v>0</v>
      </c>
      <c r="E50">
        <v>0.85699999999999998</v>
      </c>
      <c r="F50" s="32">
        <v>0</v>
      </c>
      <c r="G50">
        <v>1.571</v>
      </c>
      <c r="H50">
        <v>1.714</v>
      </c>
      <c r="I50">
        <v>1.714</v>
      </c>
      <c r="J50">
        <v>1.714</v>
      </c>
      <c r="K50">
        <v>9</v>
      </c>
      <c r="L50">
        <v>0.28599999999999998</v>
      </c>
      <c r="N50">
        <v>4</v>
      </c>
    </row>
    <row r="51" spans="1:14" x14ac:dyDescent="0.25">
      <c r="A51" s="31">
        <v>5775</v>
      </c>
      <c r="B51">
        <v>0.85699999999999998</v>
      </c>
      <c r="C51">
        <v>0.28599999999999998</v>
      </c>
      <c r="D51">
        <v>0</v>
      </c>
      <c r="E51">
        <v>0.28599999999999998</v>
      </c>
      <c r="F51" s="32">
        <v>0.28599999999999998</v>
      </c>
      <c r="G51">
        <v>1.857</v>
      </c>
      <c r="H51">
        <v>1.143</v>
      </c>
      <c r="I51">
        <v>1.571</v>
      </c>
      <c r="J51">
        <v>1.5720000000000001</v>
      </c>
      <c r="K51">
        <v>9.25</v>
      </c>
      <c r="L51">
        <v>0.28599999999999998</v>
      </c>
      <c r="N51">
        <v>4</v>
      </c>
    </row>
    <row r="52" spans="1:14" x14ac:dyDescent="0.25">
      <c r="A52" s="31">
        <v>3507</v>
      </c>
      <c r="B52">
        <v>0.71399999999999997</v>
      </c>
      <c r="C52">
        <v>0.28599999999999998</v>
      </c>
      <c r="D52">
        <v>0</v>
      </c>
      <c r="E52">
        <v>0.28599999999999998</v>
      </c>
      <c r="F52" s="32">
        <v>0</v>
      </c>
      <c r="G52">
        <v>1.571</v>
      </c>
      <c r="H52">
        <v>1</v>
      </c>
      <c r="I52">
        <v>1.286</v>
      </c>
      <c r="J52">
        <v>1</v>
      </c>
      <c r="K52">
        <v>9.3330000000000002</v>
      </c>
      <c r="L52">
        <v>0.57099999999999995</v>
      </c>
      <c r="N52">
        <v>4</v>
      </c>
    </row>
    <row r="53" spans="1:14" x14ac:dyDescent="0.25">
      <c r="A53" s="29">
        <v>5639</v>
      </c>
      <c r="B53">
        <v>1.6</v>
      </c>
      <c r="C53">
        <v>0</v>
      </c>
      <c r="D53">
        <v>0</v>
      </c>
      <c r="E53">
        <v>0</v>
      </c>
      <c r="F53" s="32">
        <v>0</v>
      </c>
      <c r="G53">
        <v>1.8</v>
      </c>
      <c r="H53">
        <v>1.6</v>
      </c>
      <c r="I53">
        <v>1.4</v>
      </c>
      <c r="J53">
        <v>1.4</v>
      </c>
      <c r="K53">
        <v>13.833</v>
      </c>
      <c r="L53">
        <v>0.2</v>
      </c>
      <c r="N53">
        <v>4</v>
      </c>
    </row>
    <row r="54" spans="1:14" x14ac:dyDescent="0.25">
      <c r="A54" s="31">
        <v>647</v>
      </c>
      <c r="B54">
        <v>0.71399999999999997</v>
      </c>
      <c r="C54">
        <v>0</v>
      </c>
      <c r="D54">
        <v>0</v>
      </c>
      <c r="E54">
        <v>0</v>
      </c>
      <c r="F54" s="32">
        <v>0</v>
      </c>
      <c r="G54">
        <v>1.429</v>
      </c>
      <c r="H54">
        <v>0.71399999999999997</v>
      </c>
      <c r="I54">
        <v>0.71399999999999997</v>
      </c>
      <c r="J54">
        <v>0.71499999999999997</v>
      </c>
      <c r="K54">
        <v>15</v>
      </c>
      <c r="L54">
        <v>0.28599999999999998</v>
      </c>
      <c r="N54">
        <v>4</v>
      </c>
    </row>
    <row r="55" spans="1:14" x14ac:dyDescent="0.25">
      <c r="A55" s="23">
        <v>4206</v>
      </c>
      <c r="B55">
        <v>0.16700000000000001</v>
      </c>
      <c r="C55">
        <v>0.16700000000000001</v>
      </c>
      <c r="D55">
        <v>0.5</v>
      </c>
      <c r="E55">
        <v>0.66700000000000004</v>
      </c>
      <c r="F55" s="32">
        <v>0.66600000000000004</v>
      </c>
      <c r="G55">
        <v>1.667</v>
      </c>
      <c r="H55">
        <v>0.83400000000000007</v>
      </c>
      <c r="I55">
        <v>1.333</v>
      </c>
      <c r="J55">
        <v>1.333</v>
      </c>
      <c r="K55">
        <v>20</v>
      </c>
      <c r="L55">
        <v>0</v>
      </c>
      <c r="N55">
        <v>4</v>
      </c>
    </row>
    <row r="56" spans="1:14" x14ac:dyDescent="0.25">
      <c r="A56" s="31">
        <v>6369</v>
      </c>
      <c r="B56">
        <v>0.57099999999999995</v>
      </c>
      <c r="C56">
        <v>0.28599999999999998</v>
      </c>
      <c r="D56">
        <v>0</v>
      </c>
      <c r="E56">
        <v>0.28599999999999998</v>
      </c>
      <c r="F56" s="32">
        <v>0</v>
      </c>
      <c r="G56">
        <v>1.429</v>
      </c>
      <c r="H56">
        <v>0.85699999999999998</v>
      </c>
      <c r="I56">
        <v>1.143</v>
      </c>
      <c r="J56">
        <v>1.143</v>
      </c>
      <c r="K56">
        <v>20.75</v>
      </c>
      <c r="L56">
        <v>0.28599999999999998</v>
      </c>
      <c r="N56">
        <v>4</v>
      </c>
    </row>
    <row r="57" spans="1:14" x14ac:dyDescent="0.25">
      <c r="A57" s="23">
        <v>4076</v>
      </c>
      <c r="B57">
        <v>0.14299999999999999</v>
      </c>
      <c r="C57">
        <v>0</v>
      </c>
      <c r="D57">
        <v>0</v>
      </c>
      <c r="E57">
        <v>0</v>
      </c>
      <c r="F57" s="32">
        <v>0</v>
      </c>
      <c r="G57">
        <v>1.857</v>
      </c>
      <c r="H57">
        <v>0.14299999999999999</v>
      </c>
      <c r="I57">
        <v>0.14299999999999999</v>
      </c>
      <c r="J57">
        <v>0.14299999999999999</v>
      </c>
      <c r="K57">
        <v>30</v>
      </c>
      <c r="L57">
        <v>0</v>
      </c>
      <c r="N57">
        <v>5</v>
      </c>
    </row>
    <row r="58" spans="1:14" x14ac:dyDescent="0.25">
      <c r="A58" s="23">
        <v>6526</v>
      </c>
      <c r="B58">
        <v>0.14299999999999999</v>
      </c>
      <c r="C58">
        <v>0</v>
      </c>
      <c r="D58">
        <v>0</v>
      </c>
      <c r="E58">
        <v>0</v>
      </c>
      <c r="F58" s="32">
        <v>0</v>
      </c>
      <c r="G58">
        <v>1.286</v>
      </c>
      <c r="H58">
        <v>0.14299999999999999</v>
      </c>
      <c r="I58">
        <v>0.14299999999999999</v>
      </c>
      <c r="J58">
        <v>0.14299999999999999</v>
      </c>
      <c r="K58">
        <v>30</v>
      </c>
      <c r="L58">
        <v>0.14299999999999999</v>
      </c>
      <c r="N58">
        <v>5</v>
      </c>
    </row>
    <row r="59" spans="1:14" x14ac:dyDescent="0.25">
      <c r="A59" s="31">
        <v>5212</v>
      </c>
      <c r="B59">
        <v>0.5</v>
      </c>
      <c r="C59">
        <v>0</v>
      </c>
      <c r="D59">
        <v>0</v>
      </c>
      <c r="E59">
        <v>0</v>
      </c>
      <c r="F59" s="32">
        <v>0</v>
      </c>
      <c r="G59">
        <v>1.333</v>
      </c>
      <c r="H59">
        <v>0.5</v>
      </c>
      <c r="I59">
        <v>0.5</v>
      </c>
      <c r="J59">
        <v>0.5</v>
      </c>
      <c r="K59">
        <v>52.5</v>
      </c>
      <c r="L59">
        <v>0.83299999999999996</v>
      </c>
      <c r="N59">
        <v>5</v>
      </c>
    </row>
    <row r="60" spans="1:14" x14ac:dyDescent="0.25">
      <c r="A60" s="31">
        <v>6655</v>
      </c>
      <c r="B60">
        <v>0.5</v>
      </c>
      <c r="C60">
        <v>0</v>
      </c>
      <c r="D60">
        <v>0</v>
      </c>
      <c r="E60">
        <v>0</v>
      </c>
      <c r="F60" s="32">
        <v>0</v>
      </c>
      <c r="G60">
        <v>1.167</v>
      </c>
      <c r="H60">
        <v>0.5</v>
      </c>
      <c r="I60">
        <v>0.33300000000000002</v>
      </c>
      <c r="J60">
        <v>0.33400000000000002</v>
      </c>
      <c r="K60">
        <v>60</v>
      </c>
      <c r="L60">
        <v>0</v>
      </c>
      <c r="N60">
        <v>5</v>
      </c>
    </row>
    <row r="61" spans="1:14" x14ac:dyDescent="0.25">
      <c r="A61" s="23">
        <v>7091</v>
      </c>
      <c r="B61">
        <v>0.28599999999999998</v>
      </c>
      <c r="C61">
        <v>0</v>
      </c>
      <c r="D61">
        <v>0</v>
      </c>
      <c r="E61">
        <v>0</v>
      </c>
      <c r="F61" s="32">
        <v>0</v>
      </c>
      <c r="G61">
        <v>1.429</v>
      </c>
      <c r="H61">
        <v>0.28599999999999998</v>
      </c>
      <c r="I61">
        <v>0.14299999999999999</v>
      </c>
      <c r="J61">
        <v>0.14299999999999999</v>
      </c>
      <c r="K61">
        <v>75</v>
      </c>
      <c r="L61">
        <v>0</v>
      </c>
      <c r="N61">
        <v>5</v>
      </c>
    </row>
  </sheetData>
  <autoFilter ref="A1:O61" xr:uid="{00000000-0009-0000-0000-000002000000}">
    <sortState ref="A2:O61">
      <sortCondition ref="M1:M6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70166-FA8C-4089-B1C0-C691A81C1E5B}">
  <sheetPr codeName="Sheet4"/>
  <dimension ref="A1:Y34"/>
  <sheetViews>
    <sheetView zoomScaleNormal="100" workbookViewId="0">
      <selection activeCell="I4" sqref="I4"/>
    </sheetView>
  </sheetViews>
  <sheetFormatPr defaultRowHeight="15" x14ac:dyDescent="0.25"/>
  <cols>
    <col min="9" max="9" width="10.85546875" customWidth="1"/>
    <col min="10" max="10" width="9.28515625" customWidth="1"/>
    <col min="15" max="16" width="9.140625" customWidth="1"/>
  </cols>
  <sheetData>
    <row r="1" spans="1:25" ht="45.75" thickBot="1" x14ac:dyDescent="0.3">
      <c r="A1" s="36" t="s">
        <v>193</v>
      </c>
      <c r="B1" s="36" t="s">
        <v>194</v>
      </c>
      <c r="C1" s="36" t="s">
        <v>195</v>
      </c>
      <c r="D1" s="36" t="s">
        <v>197</v>
      </c>
      <c r="E1" s="33" t="s">
        <v>0</v>
      </c>
      <c r="F1" s="36" t="s">
        <v>192</v>
      </c>
      <c r="G1" s="36" t="s">
        <v>198</v>
      </c>
      <c r="H1" s="36" t="s">
        <v>199</v>
      </c>
      <c r="I1" s="36" t="s">
        <v>200</v>
      </c>
      <c r="J1" s="36" t="s">
        <v>201</v>
      </c>
      <c r="O1" s="33" t="s">
        <v>0</v>
      </c>
      <c r="P1" t="s">
        <v>191</v>
      </c>
      <c r="R1" s="33" t="s">
        <v>0</v>
      </c>
      <c r="S1" s="33" t="s">
        <v>191</v>
      </c>
      <c r="T1" s="36"/>
      <c r="U1" s="33" t="s">
        <v>0</v>
      </c>
      <c r="V1" s="36" t="s">
        <v>191</v>
      </c>
      <c r="X1" t="s">
        <v>144</v>
      </c>
    </row>
    <row r="2" spans="1:25" ht="15.75" thickBot="1" x14ac:dyDescent="0.3">
      <c r="B2">
        <v>2</v>
      </c>
      <c r="C2">
        <v>2</v>
      </c>
      <c r="D2" t="s">
        <v>196</v>
      </c>
      <c r="E2" s="34">
        <v>118</v>
      </c>
      <c r="F2">
        <f>AVERAGE(A2:D2)</f>
        <v>2</v>
      </c>
      <c r="G2">
        <v>1</v>
      </c>
      <c r="H2">
        <v>1</v>
      </c>
      <c r="J2">
        <v>0.11799999999999999</v>
      </c>
      <c r="L2" s="34">
        <v>148</v>
      </c>
      <c r="M2">
        <v>1</v>
      </c>
      <c r="O2" s="34">
        <v>118</v>
      </c>
      <c r="P2">
        <v>2</v>
      </c>
      <c r="R2" s="35">
        <v>1011</v>
      </c>
      <c r="S2" s="35">
        <v>1</v>
      </c>
      <c r="T2" s="38"/>
      <c r="U2" s="34">
        <v>4499</v>
      </c>
      <c r="V2" s="37">
        <v>1</v>
      </c>
      <c r="X2">
        <v>118</v>
      </c>
      <c r="Y2">
        <v>2</v>
      </c>
    </row>
    <row r="3" spans="1:25" ht="15.75" thickBot="1" x14ac:dyDescent="0.3">
      <c r="A3">
        <v>2</v>
      </c>
      <c r="B3">
        <v>4</v>
      </c>
      <c r="C3" t="s">
        <v>196</v>
      </c>
      <c r="D3" t="s">
        <v>196</v>
      </c>
      <c r="E3" s="34">
        <v>1339</v>
      </c>
      <c r="F3">
        <f>AVERAGE(A3:D3)</f>
        <v>3</v>
      </c>
      <c r="G3" t="s">
        <v>196</v>
      </c>
      <c r="H3" t="s">
        <v>196</v>
      </c>
      <c r="J3">
        <v>0.13389999999999999</v>
      </c>
      <c r="L3" s="35">
        <v>1011</v>
      </c>
      <c r="M3">
        <v>1</v>
      </c>
      <c r="O3" s="35">
        <v>148</v>
      </c>
      <c r="P3">
        <v>3</v>
      </c>
      <c r="R3" s="34">
        <v>1410</v>
      </c>
      <c r="S3" s="34">
        <v>1</v>
      </c>
      <c r="T3" s="37"/>
      <c r="U3" s="35">
        <v>4944</v>
      </c>
      <c r="V3" s="38">
        <v>1</v>
      </c>
      <c r="X3">
        <v>2036</v>
      </c>
      <c r="Y3">
        <v>2</v>
      </c>
    </row>
    <row r="4" spans="1:25" ht="15.75" thickBot="1" x14ac:dyDescent="0.3">
      <c r="A4">
        <v>2</v>
      </c>
      <c r="B4">
        <v>1</v>
      </c>
      <c r="C4">
        <v>3</v>
      </c>
      <c r="D4">
        <v>2</v>
      </c>
      <c r="E4" s="35">
        <v>148</v>
      </c>
      <c r="F4">
        <f>AVERAGE(A4:D4)</f>
        <v>2</v>
      </c>
      <c r="G4">
        <v>2</v>
      </c>
      <c r="H4">
        <v>1</v>
      </c>
      <c r="J4">
        <v>0.14799999999999999</v>
      </c>
      <c r="L4" s="34">
        <v>4944</v>
      </c>
      <c r="M4">
        <v>1</v>
      </c>
      <c r="O4" s="35">
        <v>159</v>
      </c>
      <c r="P4">
        <v>1</v>
      </c>
      <c r="R4" s="34">
        <v>4293</v>
      </c>
      <c r="S4" s="34">
        <v>1</v>
      </c>
      <c r="T4" s="37"/>
      <c r="U4" s="35">
        <v>1011</v>
      </c>
      <c r="V4" s="38">
        <v>1</v>
      </c>
      <c r="X4">
        <v>1799</v>
      </c>
    </row>
    <row r="5" spans="1:25" ht="15.75" thickBot="1" x14ac:dyDescent="0.3">
      <c r="A5">
        <v>1</v>
      </c>
      <c r="B5">
        <v>1</v>
      </c>
      <c r="C5">
        <v>3</v>
      </c>
      <c r="D5" t="s">
        <v>196</v>
      </c>
      <c r="E5" s="35">
        <v>1619</v>
      </c>
      <c r="F5">
        <f>AVERAGE(A5:D5)</f>
        <v>1.6666666666666667</v>
      </c>
      <c r="G5" t="s">
        <v>196</v>
      </c>
      <c r="H5">
        <v>1</v>
      </c>
      <c r="J5">
        <v>0.16189999999999999</v>
      </c>
      <c r="L5" s="35">
        <v>2996</v>
      </c>
      <c r="M5">
        <v>1</v>
      </c>
      <c r="O5" s="35">
        <v>1410</v>
      </c>
      <c r="P5">
        <v>3</v>
      </c>
      <c r="R5" s="34">
        <v>4944</v>
      </c>
      <c r="S5" s="34">
        <v>1</v>
      </c>
      <c r="T5" s="37"/>
      <c r="U5" s="35">
        <v>159</v>
      </c>
      <c r="V5" s="38">
        <v>1</v>
      </c>
    </row>
    <row r="6" spans="1:25" ht="15.75" thickBot="1" x14ac:dyDescent="0.3">
      <c r="E6" s="35">
        <v>2848</v>
      </c>
      <c r="J6">
        <v>0.2848</v>
      </c>
      <c r="L6" s="34">
        <v>3005</v>
      </c>
      <c r="M6">
        <v>1</v>
      </c>
      <c r="O6" s="34">
        <v>1619</v>
      </c>
      <c r="P6">
        <v>3</v>
      </c>
      <c r="R6" s="34">
        <v>4499</v>
      </c>
      <c r="S6" s="34">
        <v>1</v>
      </c>
      <c r="T6" s="37"/>
      <c r="U6" s="35">
        <v>1410</v>
      </c>
      <c r="V6" s="38">
        <v>1</v>
      </c>
    </row>
    <row r="7" spans="1:25" ht="15.75" thickBot="1" x14ac:dyDescent="0.3">
      <c r="A7">
        <v>4</v>
      </c>
      <c r="C7">
        <v>1</v>
      </c>
      <c r="D7" t="s">
        <v>196</v>
      </c>
      <c r="E7" s="34">
        <v>2996</v>
      </c>
      <c r="F7">
        <f t="shared" ref="F7:F23" si="0">AVERAGE(A7:D7)</f>
        <v>2.5</v>
      </c>
      <c r="G7">
        <v>2</v>
      </c>
      <c r="H7">
        <v>1</v>
      </c>
      <c r="J7">
        <v>0.29959999999999998</v>
      </c>
      <c r="L7" s="35">
        <v>118</v>
      </c>
      <c r="M7">
        <v>1</v>
      </c>
      <c r="O7" s="34">
        <v>2996</v>
      </c>
      <c r="P7">
        <v>1</v>
      </c>
      <c r="R7" s="34">
        <v>148</v>
      </c>
      <c r="S7" s="34">
        <v>2</v>
      </c>
      <c r="T7" s="37"/>
      <c r="U7" s="35">
        <v>2240</v>
      </c>
      <c r="V7" s="38">
        <v>2</v>
      </c>
    </row>
    <row r="8" spans="1:25" ht="15.75" thickBot="1" x14ac:dyDescent="0.3">
      <c r="A8">
        <v>1</v>
      </c>
      <c r="B8">
        <v>1</v>
      </c>
      <c r="C8">
        <v>1</v>
      </c>
      <c r="D8">
        <v>1</v>
      </c>
      <c r="E8" s="34">
        <v>4944</v>
      </c>
      <c r="F8">
        <f t="shared" si="0"/>
        <v>1</v>
      </c>
      <c r="G8" t="s">
        <v>196</v>
      </c>
      <c r="H8">
        <v>1</v>
      </c>
      <c r="J8">
        <v>1</v>
      </c>
      <c r="L8" s="34">
        <v>4499</v>
      </c>
      <c r="M8">
        <v>1</v>
      </c>
      <c r="O8" s="35">
        <v>3648</v>
      </c>
      <c r="R8" s="34">
        <v>3374</v>
      </c>
      <c r="S8" s="34">
        <v>3</v>
      </c>
      <c r="T8" s="37"/>
      <c r="U8" s="35">
        <v>4068</v>
      </c>
      <c r="V8" s="38">
        <v>2</v>
      </c>
    </row>
    <row r="9" spans="1:25" ht="15.75" thickBot="1" x14ac:dyDescent="0.3">
      <c r="A9">
        <v>1</v>
      </c>
      <c r="B9">
        <v>1</v>
      </c>
      <c r="C9" t="s">
        <v>196</v>
      </c>
      <c r="D9">
        <v>1</v>
      </c>
      <c r="E9" s="35">
        <v>1011</v>
      </c>
      <c r="F9">
        <f t="shared" si="0"/>
        <v>1</v>
      </c>
      <c r="G9">
        <v>1</v>
      </c>
      <c r="H9">
        <v>1</v>
      </c>
      <c r="J9">
        <v>2</v>
      </c>
      <c r="L9" s="35">
        <v>159</v>
      </c>
      <c r="M9">
        <v>1</v>
      </c>
      <c r="O9" s="34">
        <v>4293</v>
      </c>
      <c r="P9">
        <v>3</v>
      </c>
      <c r="R9" s="35">
        <v>3200</v>
      </c>
      <c r="S9" s="35">
        <v>4</v>
      </c>
      <c r="T9" s="38"/>
      <c r="U9" s="35">
        <v>1583</v>
      </c>
      <c r="V9" s="38">
        <v>3</v>
      </c>
    </row>
    <row r="10" spans="1:25" ht="15.75" thickBot="1" x14ac:dyDescent="0.3">
      <c r="C10">
        <v>1</v>
      </c>
      <c r="D10">
        <v>1</v>
      </c>
      <c r="E10" s="34">
        <v>4499</v>
      </c>
      <c r="F10">
        <f t="shared" si="0"/>
        <v>1</v>
      </c>
      <c r="G10" t="s">
        <v>196</v>
      </c>
      <c r="H10">
        <v>1</v>
      </c>
      <c r="J10">
        <v>3</v>
      </c>
      <c r="L10" s="34">
        <v>3374</v>
      </c>
      <c r="M10">
        <v>1</v>
      </c>
      <c r="O10" s="34">
        <v>4499</v>
      </c>
      <c r="P10">
        <v>1</v>
      </c>
      <c r="U10" s="34">
        <v>4550</v>
      </c>
      <c r="V10" s="38">
        <v>1</v>
      </c>
    </row>
    <row r="11" spans="1:25" ht="15.75" thickBot="1" x14ac:dyDescent="0.3">
      <c r="A11">
        <v>4</v>
      </c>
      <c r="C11" t="s">
        <v>196</v>
      </c>
      <c r="D11">
        <v>3</v>
      </c>
      <c r="E11" s="35">
        <v>3374</v>
      </c>
      <c r="F11">
        <f t="shared" si="0"/>
        <v>3.5</v>
      </c>
      <c r="G11" t="s">
        <v>196</v>
      </c>
      <c r="H11">
        <v>1</v>
      </c>
      <c r="J11">
        <v>4</v>
      </c>
      <c r="L11" s="35">
        <v>2240</v>
      </c>
      <c r="M11">
        <v>1</v>
      </c>
      <c r="O11" s="35">
        <v>4550</v>
      </c>
      <c r="P11">
        <v>2</v>
      </c>
      <c r="U11" s="34">
        <v>1332</v>
      </c>
      <c r="V11" s="38">
        <v>1</v>
      </c>
    </row>
    <row r="12" spans="1:25" ht="15.75" thickBot="1" x14ac:dyDescent="0.3">
      <c r="A12">
        <v>1</v>
      </c>
      <c r="B12">
        <v>1</v>
      </c>
      <c r="C12">
        <v>1</v>
      </c>
      <c r="D12" t="s">
        <v>196</v>
      </c>
      <c r="E12" s="35">
        <v>159</v>
      </c>
      <c r="F12">
        <f t="shared" si="0"/>
        <v>1</v>
      </c>
      <c r="G12">
        <v>1</v>
      </c>
      <c r="H12">
        <v>1</v>
      </c>
      <c r="I12" t="s">
        <v>202</v>
      </c>
      <c r="J12">
        <v>5</v>
      </c>
      <c r="L12" s="34">
        <v>4388</v>
      </c>
      <c r="M12">
        <v>1</v>
      </c>
      <c r="O12" s="34">
        <v>4593</v>
      </c>
      <c r="P12">
        <v>3</v>
      </c>
      <c r="U12" s="34">
        <v>2848</v>
      </c>
      <c r="V12" s="38">
        <v>2</v>
      </c>
    </row>
    <row r="13" spans="1:25" ht="15.75" thickBot="1" x14ac:dyDescent="0.3">
      <c r="B13">
        <v>1</v>
      </c>
      <c r="C13">
        <v>3</v>
      </c>
      <c r="D13">
        <v>1</v>
      </c>
      <c r="E13" s="34">
        <v>4293</v>
      </c>
      <c r="F13">
        <f t="shared" si="0"/>
        <v>1.6666666666666667</v>
      </c>
      <c r="G13">
        <v>2</v>
      </c>
      <c r="H13" t="s">
        <v>196</v>
      </c>
      <c r="J13">
        <v>6</v>
      </c>
      <c r="L13" s="35">
        <v>2848</v>
      </c>
      <c r="M13">
        <v>1</v>
      </c>
      <c r="O13" s="35">
        <v>4944</v>
      </c>
      <c r="P13">
        <v>1</v>
      </c>
      <c r="U13" s="34">
        <v>1245</v>
      </c>
      <c r="V13" s="38">
        <v>3</v>
      </c>
    </row>
    <row r="14" spans="1:25" ht="15.75" thickBot="1" x14ac:dyDescent="0.3">
      <c r="A14">
        <v>2</v>
      </c>
      <c r="C14" t="s">
        <v>196</v>
      </c>
      <c r="D14" t="s">
        <v>196</v>
      </c>
      <c r="E14" s="34">
        <v>1730</v>
      </c>
      <c r="F14">
        <f t="shared" si="0"/>
        <v>2</v>
      </c>
      <c r="G14">
        <v>2</v>
      </c>
      <c r="H14">
        <v>1</v>
      </c>
      <c r="I14" t="s">
        <v>204</v>
      </c>
      <c r="J14">
        <v>7</v>
      </c>
      <c r="L14" s="34">
        <v>4550</v>
      </c>
      <c r="M14">
        <v>1</v>
      </c>
      <c r="O14" s="35">
        <v>5763</v>
      </c>
      <c r="P14">
        <v>3</v>
      </c>
      <c r="U14" s="35">
        <v>1730</v>
      </c>
      <c r="V14" s="38">
        <v>2</v>
      </c>
    </row>
    <row r="15" spans="1:25" ht="15.75" thickBot="1" x14ac:dyDescent="0.3">
      <c r="A15">
        <v>3</v>
      </c>
      <c r="C15">
        <v>2</v>
      </c>
      <c r="D15" t="s">
        <v>196</v>
      </c>
      <c r="E15" s="34">
        <v>4550</v>
      </c>
      <c r="F15">
        <f t="shared" si="0"/>
        <v>2.5</v>
      </c>
      <c r="G15" t="s">
        <v>196</v>
      </c>
      <c r="H15">
        <v>1</v>
      </c>
      <c r="J15">
        <v>8</v>
      </c>
      <c r="L15" s="35">
        <v>1157</v>
      </c>
      <c r="M15">
        <v>1</v>
      </c>
      <c r="O15" s="34">
        <v>7243</v>
      </c>
      <c r="U15" s="35">
        <v>5414</v>
      </c>
      <c r="V15" s="38">
        <v>2</v>
      </c>
    </row>
    <row r="16" spans="1:25" ht="15.75" thickBot="1" x14ac:dyDescent="0.3">
      <c r="A16">
        <v>1</v>
      </c>
      <c r="B16">
        <v>2</v>
      </c>
      <c r="C16">
        <v>3</v>
      </c>
      <c r="D16">
        <v>1</v>
      </c>
      <c r="E16" s="34">
        <v>1410</v>
      </c>
      <c r="F16">
        <f t="shared" si="0"/>
        <v>1.75</v>
      </c>
      <c r="G16" t="s">
        <v>196</v>
      </c>
      <c r="H16" t="s">
        <v>196</v>
      </c>
      <c r="J16">
        <v>9</v>
      </c>
      <c r="L16" s="34">
        <v>1730</v>
      </c>
      <c r="M16">
        <v>1</v>
      </c>
      <c r="U16" s="34">
        <v>4293</v>
      </c>
      <c r="V16" s="38">
        <v>2</v>
      </c>
    </row>
    <row r="17" spans="1:22" ht="15.75" thickBot="1" x14ac:dyDescent="0.3">
      <c r="A17">
        <v>2</v>
      </c>
      <c r="C17" t="s">
        <v>196</v>
      </c>
      <c r="D17" t="s">
        <v>196</v>
      </c>
      <c r="E17" s="35">
        <v>4068</v>
      </c>
      <c r="F17">
        <f t="shared" si="0"/>
        <v>2</v>
      </c>
      <c r="G17" t="s">
        <v>196</v>
      </c>
      <c r="H17" t="s">
        <v>196</v>
      </c>
      <c r="J17">
        <v>10</v>
      </c>
      <c r="L17" s="35">
        <v>1619</v>
      </c>
      <c r="M17">
        <v>1</v>
      </c>
      <c r="U17" s="35">
        <v>698</v>
      </c>
      <c r="V17" s="38">
        <v>3</v>
      </c>
    </row>
    <row r="18" spans="1:22" ht="15.75" thickBot="1" x14ac:dyDescent="0.3">
      <c r="A18">
        <v>2</v>
      </c>
      <c r="C18" t="s">
        <v>196</v>
      </c>
      <c r="D18" t="s">
        <v>196</v>
      </c>
      <c r="E18" s="35">
        <v>2240</v>
      </c>
      <c r="F18">
        <f t="shared" si="0"/>
        <v>2</v>
      </c>
      <c r="G18" t="s">
        <v>196</v>
      </c>
      <c r="H18">
        <v>1</v>
      </c>
      <c r="J18">
        <v>11</v>
      </c>
      <c r="U18" s="34">
        <v>118</v>
      </c>
      <c r="V18" s="38">
        <v>1</v>
      </c>
    </row>
    <row r="19" spans="1:22" ht="15.75" thickBot="1" x14ac:dyDescent="0.3">
      <c r="A19">
        <v>1</v>
      </c>
      <c r="C19" t="s">
        <v>196</v>
      </c>
      <c r="D19" t="s">
        <v>196</v>
      </c>
      <c r="E19" s="34">
        <v>4388</v>
      </c>
      <c r="F19">
        <f t="shared" si="0"/>
        <v>1</v>
      </c>
      <c r="G19" t="s">
        <v>196</v>
      </c>
      <c r="H19">
        <v>1</v>
      </c>
      <c r="J19">
        <v>12</v>
      </c>
      <c r="U19" s="34">
        <v>2996</v>
      </c>
      <c r="V19" s="38">
        <v>2</v>
      </c>
    </row>
    <row r="20" spans="1:22" ht="15.75" thickBot="1" x14ac:dyDescent="0.3">
      <c r="A20">
        <v>2</v>
      </c>
      <c r="C20" t="s">
        <v>196</v>
      </c>
      <c r="D20" t="s">
        <v>196</v>
      </c>
      <c r="E20" s="34">
        <v>5126</v>
      </c>
      <c r="F20">
        <f t="shared" si="0"/>
        <v>2</v>
      </c>
      <c r="G20">
        <v>4</v>
      </c>
      <c r="H20" t="s">
        <v>196</v>
      </c>
      <c r="J20">
        <v>13</v>
      </c>
      <c r="U20" s="34">
        <v>3374</v>
      </c>
      <c r="V20" s="38">
        <v>2</v>
      </c>
    </row>
    <row r="21" spans="1:22" ht="15.75" thickBot="1" x14ac:dyDescent="0.3">
      <c r="C21">
        <v>3</v>
      </c>
      <c r="D21" t="s">
        <v>196</v>
      </c>
      <c r="E21" s="34">
        <v>4593</v>
      </c>
      <c r="F21">
        <f t="shared" si="0"/>
        <v>3</v>
      </c>
      <c r="G21" t="s">
        <v>196</v>
      </c>
      <c r="H21" t="s">
        <v>196</v>
      </c>
      <c r="J21">
        <v>14</v>
      </c>
      <c r="U21" s="35">
        <v>4593</v>
      </c>
      <c r="V21" s="38">
        <v>3</v>
      </c>
    </row>
    <row r="22" spans="1:22" ht="15.75" thickBot="1" x14ac:dyDescent="0.3">
      <c r="A22">
        <v>4</v>
      </c>
      <c r="C22">
        <v>3</v>
      </c>
      <c r="D22" t="s">
        <v>196</v>
      </c>
      <c r="E22" s="34">
        <v>5763</v>
      </c>
      <c r="F22">
        <f t="shared" si="0"/>
        <v>3.5</v>
      </c>
      <c r="G22" t="s">
        <v>196</v>
      </c>
      <c r="H22" t="s">
        <v>196</v>
      </c>
      <c r="J22">
        <v>15</v>
      </c>
      <c r="U22" s="34">
        <v>1157</v>
      </c>
      <c r="V22" s="38">
        <v>3</v>
      </c>
    </row>
    <row r="23" spans="1:22" ht="15.75" thickBot="1" x14ac:dyDescent="0.3">
      <c r="A23">
        <v>3</v>
      </c>
      <c r="C23" t="s">
        <v>196</v>
      </c>
      <c r="D23" t="s">
        <v>196</v>
      </c>
      <c r="E23" s="34">
        <v>662</v>
      </c>
      <c r="F23">
        <f t="shared" si="0"/>
        <v>3</v>
      </c>
      <c r="G23" t="s">
        <v>196</v>
      </c>
      <c r="H23" t="s">
        <v>196</v>
      </c>
      <c r="J23">
        <v>16</v>
      </c>
      <c r="U23" s="34"/>
      <c r="V23" s="38"/>
    </row>
    <row r="24" spans="1:22" ht="15.75" thickBot="1" x14ac:dyDescent="0.3">
      <c r="E24" s="34">
        <v>1332</v>
      </c>
      <c r="J24">
        <v>17</v>
      </c>
      <c r="U24" s="34"/>
      <c r="V24" s="38"/>
    </row>
    <row r="25" spans="1:22" ht="15.75" thickBot="1" x14ac:dyDescent="0.3">
      <c r="E25" s="34">
        <v>1245</v>
      </c>
      <c r="J25">
        <v>18</v>
      </c>
      <c r="U25" s="34"/>
      <c r="V25" s="38"/>
    </row>
    <row r="26" spans="1:22" ht="15.75" thickBot="1" x14ac:dyDescent="0.3">
      <c r="E26" s="34">
        <v>1583</v>
      </c>
      <c r="J26">
        <v>19</v>
      </c>
      <c r="U26" s="34"/>
      <c r="V26" s="38"/>
    </row>
    <row r="27" spans="1:22" ht="15.75" thickBot="1" x14ac:dyDescent="0.3">
      <c r="E27" s="34">
        <v>698</v>
      </c>
      <c r="J27">
        <v>20</v>
      </c>
      <c r="U27" s="34"/>
      <c r="V27" s="38"/>
    </row>
    <row r="28" spans="1:22" ht="15.75" thickBot="1" x14ac:dyDescent="0.3">
      <c r="E28" s="34">
        <v>3807</v>
      </c>
      <c r="J28">
        <v>21</v>
      </c>
      <c r="U28" s="34"/>
      <c r="V28" s="38"/>
    </row>
    <row r="29" spans="1:22" ht="15.75" thickBot="1" x14ac:dyDescent="0.3">
      <c r="E29" s="34">
        <v>5899</v>
      </c>
      <c r="J29">
        <v>22</v>
      </c>
      <c r="U29" s="35">
        <v>5899</v>
      </c>
      <c r="V29" s="38">
        <v>3</v>
      </c>
    </row>
    <row r="30" spans="1:22" ht="15.75" thickBot="1" x14ac:dyDescent="0.3">
      <c r="A30">
        <v>2</v>
      </c>
      <c r="C30" t="s">
        <v>196</v>
      </c>
      <c r="D30" t="s">
        <v>196</v>
      </c>
      <c r="E30" s="35">
        <v>1799</v>
      </c>
      <c r="F30">
        <f>AVERAGE(A30:D30)</f>
        <v>2</v>
      </c>
      <c r="G30" t="s">
        <v>196</v>
      </c>
      <c r="H30" t="s">
        <v>196</v>
      </c>
      <c r="I30" t="s">
        <v>203</v>
      </c>
      <c r="J30">
        <v>23</v>
      </c>
      <c r="U30" s="34">
        <v>5126</v>
      </c>
      <c r="V30" s="38">
        <v>4</v>
      </c>
    </row>
    <row r="31" spans="1:22" ht="15.75" thickBot="1" x14ac:dyDescent="0.3">
      <c r="A31">
        <v>3</v>
      </c>
      <c r="C31" t="s">
        <v>196</v>
      </c>
      <c r="D31" t="s">
        <v>196</v>
      </c>
      <c r="E31" s="35">
        <v>1157</v>
      </c>
      <c r="F31">
        <f>AVERAGE(A31:D31)</f>
        <v>3</v>
      </c>
      <c r="G31">
        <v>3</v>
      </c>
      <c r="H31">
        <v>1</v>
      </c>
      <c r="J31">
        <v>24</v>
      </c>
      <c r="U31" s="35">
        <v>2259</v>
      </c>
      <c r="V31" s="38">
        <v>4</v>
      </c>
    </row>
    <row r="32" spans="1:22" x14ac:dyDescent="0.25">
      <c r="A32">
        <v>2</v>
      </c>
      <c r="C32" t="s">
        <v>196</v>
      </c>
      <c r="D32" t="s">
        <v>196</v>
      </c>
      <c r="E32" s="34">
        <v>2036</v>
      </c>
      <c r="F32">
        <f>AVERAGE(A32:D32)</f>
        <v>2</v>
      </c>
      <c r="G32" t="s">
        <v>196</v>
      </c>
      <c r="H32" t="s">
        <v>196</v>
      </c>
      <c r="J32">
        <v>25</v>
      </c>
      <c r="U32" s="35">
        <v>148</v>
      </c>
      <c r="V32" s="38">
        <v>2</v>
      </c>
    </row>
    <row r="33" spans="1:10" x14ac:dyDescent="0.25">
      <c r="A33">
        <v>3</v>
      </c>
      <c r="C33" t="s">
        <v>196</v>
      </c>
      <c r="D33" t="s">
        <v>196</v>
      </c>
      <c r="E33" s="38">
        <v>2945</v>
      </c>
      <c r="F33">
        <f>AVERAGE(A33:D33)</f>
        <v>3</v>
      </c>
      <c r="G33" t="s">
        <v>196</v>
      </c>
      <c r="H33" t="s">
        <v>196</v>
      </c>
      <c r="I33" t="s">
        <v>205</v>
      </c>
      <c r="J33">
        <v>26</v>
      </c>
    </row>
    <row r="34" spans="1:10" x14ac:dyDescent="0.25">
      <c r="A34">
        <v>4</v>
      </c>
      <c r="B34">
        <v>1</v>
      </c>
      <c r="C34" t="s">
        <v>196</v>
      </c>
      <c r="D34">
        <v>4</v>
      </c>
      <c r="E34" s="38">
        <v>3200</v>
      </c>
      <c r="F34">
        <f>AVERAGE(A34:D34)</f>
        <v>3</v>
      </c>
      <c r="G34" t="s">
        <v>196</v>
      </c>
      <c r="H34" t="s">
        <v>196</v>
      </c>
      <c r="I34" t="s">
        <v>205</v>
      </c>
      <c r="J34">
        <v>27</v>
      </c>
    </row>
  </sheetData>
  <autoFilter ref="A1:J1" xr:uid="{BD88AF93-F4DE-4B6C-B47F-1AC2EE14C96D}">
    <sortState ref="A2:J34">
      <sortCondition ref="J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B0B2C-EB89-481B-AE48-7962C778ED32}">
  <sheetPr codeName="Sheet5"/>
  <dimension ref="A1"/>
  <sheetViews>
    <sheetView workbookViewId="0">
      <selection activeCell="J13" sqref="J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 Data</vt:lpstr>
      <vt:lpstr>Scouting</vt:lpstr>
      <vt:lpstr>Center Switch</vt:lpstr>
      <vt:lpstr>Center Switch 2</vt:lpstr>
      <vt:lpstr>2nd Pick Dallas</vt:lpstr>
      <vt:lpstr>Second Pick Denver</vt:lpstr>
      <vt:lpstr>Second Pick LSS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Schoenberg</dc:creator>
  <cp:lastModifiedBy>Adam Schoenberg</cp:lastModifiedBy>
  <dcterms:created xsi:type="dcterms:W3CDTF">2018-02-25T23:50:10Z</dcterms:created>
  <dcterms:modified xsi:type="dcterms:W3CDTF">2018-04-22T19:28:56Z</dcterms:modified>
</cp:coreProperties>
</file>